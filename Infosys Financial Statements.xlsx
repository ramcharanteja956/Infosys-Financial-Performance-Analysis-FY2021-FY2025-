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ndows 10 Pro\Desktop\"/>
    </mc:Choice>
  </mc:AlternateContent>
  <bookViews>
    <workbookView xWindow="0" yWindow="0" windowWidth="16380" windowHeight="8190" tabRatio="500" activeTab="3"/>
  </bookViews>
  <sheets>
    <sheet name="Income Statement" sheetId="1" r:id="rId1"/>
    <sheet name="Balance Sheet" sheetId="2" r:id="rId2"/>
    <sheet name="Cash Flow" sheetId="3" r:id="rId3"/>
    <sheet name="Ratio Analysis" sheetId="10" r:id="rId4"/>
  </sheet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35" i="10" l="1"/>
  <c r="D35" i="10"/>
  <c r="E35" i="10"/>
  <c r="F35" i="10"/>
  <c r="B35" i="10"/>
  <c r="C27" i="10"/>
  <c r="D27" i="10"/>
  <c r="E27" i="10"/>
  <c r="F27" i="10"/>
  <c r="B27" i="10"/>
  <c r="B9" i="1" l="1"/>
  <c r="C9" i="1"/>
  <c r="D9" i="1"/>
  <c r="E9" i="1"/>
  <c r="F9" i="1"/>
  <c r="G9" i="1"/>
  <c r="B5" i="1"/>
  <c r="C5" i="1"/>
  <c r="D5" i="1"/>
  <c r="E5" i="1"/>
  <c r="F5" i="1"/>
  <c r="G5" i="1"/>
  <c r="C10" i="1" l="1"/>
  <c r="G10" i="1"/>
  <c r="D10" i="1"/>
  <c r="F10" i="1"/>
  <c r="B10" i="1"/>
  <c r="B12" i="1" s="1"/>
  <c r="E10" i="1"/>
  <c r="B48" i="10"/>
  <c r="B47" i="10"/>
  <c r="C47" i="10"/>
  <c r="D47" i="10"/>
  <c r="E47" i="10"/>
  <c r="F47" i="10"/>
  <c r="B28" i="10"/>
  <c r="C48" i="10"/>
  <c r="D48" i="10"/>
  <c r="E48" i="10"/>
  <c r="F48" i="10"/>
  <c r="B36" i="10"/>
  <c r="C36" i="10"/>
  <c r="D36" i="10"/>
  <c r="E36" i="10"/>
  <c r="F36" i="10"/>
  <c r="C34" i="10"/>
  <c r="D34" i="10"/>
  <c r="E34" i="10"/>
  <c r="F34" i="10"/>
  <c r="B34" i="10"/>
  <c r="B33" i="10"/>
  <c r="C33" i="10"/>
  <c r="D33" i="10"/>
  <c r="E33" i="10"/>
  <c r="F33" i="10"/>
  <c r="C30" i="10"/>
  <c r="D30" i="10"/>
  <c r="E30" i="10"/>
  <c r="F30" i="10"/>
  <c r="B30" i="10"/>
  <c r="C29" i="10"/>
  <c r="D29" i="10"/>
  <c r="E29" i="10"/>
  <c r="F29" i="10"/>
  <c r="B29" i="10"/>
  <c r="C28" i="10"/>
  <c r="D28" i="10"/>
  <c r="E28" i="10"/>
  <c r="F28" i="10"/>
  <c r="C26" i="10"/>
  <c r="D26" i="10"/>
  <c r="E26" i="10"/>
  <c r="F26" i="10"/>
  <c r="B26" i="10"/>
  <c r="C22" i="10"/>
  <c r="D22" i="10"/>
  <c r="E22" i="10"/>
  <c r="F22" i="10"/>
  <c r="B22" i="10"/>
  <c r="B21" i="10" l="1"/>
  <c r="C23" i="10" l="1"/>
  <c r="D23" i="10"/>
  <c r="E23" i="10"/>
  <c r="F23" i="10"/>
  <c r="B23" i="10"/>
  <c r="C21" i="10"/>
  <c r="D21" i="10"/>
  <c r="E21" i="10"/>
  <c r="F21" i="10"/>
  <c r="C12" i="10" l="1"/>
  <c r="D12" i="10"/>
  <c r="B12" i="10"/>
  <c r="B4" i="10"/>
  <c r="C4" i="10"/>
  <c r="D4" i="10"/>
  <c r="E4" i="10"/>
  <c r="F4" i="10"/>
  <c r="B6" i="10"/>
  <c r="C6" i="10"/>
  <c r="D6" i="10"/>
  <c r="E6" i="10"/>
  <c r="F6" i="10"/>
  <c r="F8" i="10"/>
  <c r="B31" i="3"/>
  <c r="B39" i="3"/>
  <c r="B20" i="3"/>
  <c r="B23" i="3" s="1"/>
  <c r="B51" i="3" l="1"/>
  <c r="B42" i="3"/>
  <c r="B45" i="3" s="1"/>
  <c r="B48" i="3"/>
  <c r="B49" i="3" s="1"/>
  <c r="G44" i="3" l="1"/>
  <c r="F44" i="3"/>
  <c r="E44" i="3"/>
  <c r="D44" i="3" l="1"/>
  <c r="C44" i="3"/>
  <c r="D39" i="3"/>
  <c r="E39" i="3"/>
  <c r="F39" i="3"/>
  <c r="G39" i="3"/>
  <c r="C39" i="3"/>
  <c r="C31" i="3"/>
  <c r="E31" i="3"/>
  <c r="F31" i="3"/>
  <c r="G31" i="3"/>
  <c r="D31" i="3"/>
  <c r="B25" i="1" l="1"/>
  <c r="D25" i="1"/>
  <c r="E25" i="1"/>
  <c r="F25" i="1"/>
  <c r="G25" i="1"/>
  <c r="C25" i="1"/>
  <c r="E21" i="1" l="1"/>
  <c r="E12" i="10"/>
  <c r="F12" i="10"/>
  <c r="B21" i="1"/>
  <c r="D21" i="1" l="1"/>
  <c r="G21" i="1"/>
  <c r="C21" i="1"/>
  <c r="F21" i="1"/>
  <c r="B15" i="1"/>
  <c r="D15" i="1"/>
  <c r="F15" i="1"/>
  <c r="G15" i="1"/>
  <c r="C15" i="1"/>
  <c r="E15" i="1"/>
  <c r="D18" i="10" l="1"/>
  <c r="D14" i="10"/>
  <c r="D26" i="1"/>
  <c r="C18" i="10"/>
  <c r="C14" i="10"/>
  <c r="B18" i="10"/>
  <c r="B14" i="10"/>
  <c r="E18" i="10"/>
  <c r="E14" i="10"/>
  <c r="F18" i="10"/>
  <c r="F14" i="10"/>
  <c r="D12" i="1"/>
  <c r="F12" i="1"/>
  <c r="C12" i="1"/>
  <c r="G12" i="1"/>
  <c r="B22" i="1"/>
  <c r="E12" i="1"/>
  <c r="C22" i="1" l="1"/>
  <c r="B13" i="10"/>
  <c r="D22" i="1"/>
  <c r="C13" i="10"/>
  <c r="E22" i="1"/>
  <c r="D13" i="10"/>
  <c r="F22" i="1"/>
  <c r="E13" i="10"/>
  <c r="G22" i="1"/>
  <c r="F13" i="10"/>
  <c r="E26" i="1"/>
  <c r="G26" i="1"/>
  <c r="F26" i="1"/>
  <c r="B26" i="1"/>
  <c r="C26" i="1"/>
  <c r="B37" i="2"/>
  <c r="B32" i="2"/>
  <c r="B24" i="2"/>
  <c r="B26" i="2" s="1"/>
  <c r="B39" i="2" s="1"/>
  <c r="C24" i="2"/>
  <c r="B16" i="2"/>
  <c r="B18" i="2" s="1"/>
  <c r="B9" i="2"/>
  <c r="C9" i="2"/>
  <c r="B41" i="2" l="1"/>
  <c r="B17" i="1"/>
  <c r="B23" i="1"/>
  <c r="D37" i="2"/>
  <c r="E37" i="2"/>
  <c r="F37" i="2"/>
  <c r="G37" i="2"/>
  <c r="C37" i="2"/>
  <c r="D32" i="2"/>
  <c r="E32" i="2"/>
  <c r="F32" i="2"/>
  <c r="G32" i="2"/>
  <c r="C32" i="2"/>
  <c r="C26" i="2"/>
  <c r="G24" i="2"/>
  <c r="G26" i="2" s="1"/>
  <c r="F24" i="2"/>
  <c r="F26" i="2" s="1"/>
  <c r="E24" i="2"/>
  <c r="E26" i="2" s="1"/>
  <c r="D24" i="2"/>
  <c r="D26" i="2" s="1"/>
  <c r="D16" i="2"/>
  <c r="E16" i="2"/>
  <c r="F16" i="2"/>
  <c r="G16" i="2"/>
  <c r="C16" i="2"/>
  <c r="D9" i="2"/>
  <c r="E9" i="2"/>
  <c r="F9" i="2"/>
  <c r="F18" i="2" s="1"/>
  <c r="G9" i="2"/>
  <c r="B24" i="1" l="1"/>
  <c r="B50" i="3"/>
  <c r="G39" i="2"/>
  <c r="C39" i="2"/>
  <c r="D39" i="2"/>
  <c r="E18" i="2"/>
  <c r="E41" i="2" s="1"/>
  <c r="G18" i="2"/>
  <c r="E39" i="2"/>
  <c r="F39" i="2"/>
  <c r="F41" i="2" s="1"/>
  <c r="G41" i="2"/>
  <c r="D18" i="2"/>
  <c r="C18" i="2"/>
  <c r="D41" i="2" l="1"/>
  <c r="C41" i="2"/>
  <c r="C23" i="1" l="1"/>
  <c r="C17" i="1"/>
  <c r="B49" i="10" l="1"/>
  <c r="B15" i="10"/>
  <c r="B46" i="10"/>
  <c r="B17" i="10"/>
  <c r="B16" i="10"/>
  <c r="B5" i="10"/>
  <c r="C4" i="3"/>
  <c r="C20" i="3" s="1"/>
  <c r="C23" i="3" s="1"/>
  <c r="C24" i="1"/>
  <c r="C48" i="3" l="1"/>
  <c r="B43" i="10"/>
  <c r="B39" i="10"/>
  <c r="B40" i="10"/>
  <c r="B41" i="10" s="1"/>
  <c r="B42" i="10"/>
  <c r="C42" i="3"/>
  <c r="C45" i="3" s="1"/>
  <c r="C51" i="3"/>
  <c r="C50" i="3"/>
  <c r="D23" i="1"/>
  <c r="D17" i="1"/>
  <c r="C46" i="10" l="1"/>
  <c r="C49" i="10"/>
  <c r="C16" i="10"/>
  <c r="C17" i="10"/>
  <c r="C15" i="10"/>
  <c r="C5" i="10"/>
  <c r="D4" i="3"/>
  <c r="D20" i="3" s="1"/>
  <c r="D23" i="3" s="1"/>
  <c r="D50" i="3" s="1"/>
  <c r="B7" i="10"/>
  <c r="C49" i="3"/>
  <c r="D24" i="1"/>
  <c r="D42" i="3" l="1"/>
  <c r="D45" i="3" s="1"/>
  <c r="C40" i="10"/>
  <c r="C41" i="10" s="1"/>
  <c r="C39" i="10"/>
  <c r="C42" i="10"/>
  <c r="C43" i="10"/>
  <c r="D48" i="3"/>
  <c r="D51" i="3"/>
  <c r="E23" i="1"/>
  <c r="E17" i="1"/>
  <c r="D49" i="3" l="1"/>
  <c r="C7" i="10"/>
  <c r="D46" i="10"/>
  <c r="D49" i="10"/>
  <c r="D17" i="10"/>
  <c r="D16" i="10"/>
  <c r="D5" i="10"/>
  <c r="D15" i="10"/>
  <c r="E4" i="3"/>
  <c r="E20" i="3" s="1"/>
  <c r="E23" i="3" s="1"/>
  <c r="E50" i="3" s="1"/>
  <c r="E24" i="1"/>
  <c r="E51" i="3" l="1"/>
  <c r="D43" i="10"/>
  <c r="D40" i="10"/>
  <c r="D41" i="10" s="1"/>
  <c r="D39" i="10"/>
  <c r="D42" i="10"/>
  <c r="E42" i="3"/>
  <c r="E45" i="3" s="1"/>
  <c r="E48" i="3"/>
  <c r="F17" i="1"/>
  <c r="F23" i="1"/>
  <c r="E49" i="3" l="1"/>
  <c r="D7" i="10"/>
  <c r="E49" i="10"/>
  <c r="E46" i="10"/>
  <c r="E17" i="10"/>
  <c r="E16" i="10"/>
  <c r="E15" i="10"/>
  <c r="E5" i="10"/>
  <c r="F4" i="3"/>
  <c r="F20" i="3" s="1"/>
  <c r="F23" i="3" s="1"/>
  <c r="F24" i="1"/>
  <c r="F48" i="3" l="1"/>
  <c r="E39" i="10"/>
  <c r="E43" i="10"/>
  <c r="E42" i="10"/>
  <c r="E40" i="10"/>
  <c r="E41" i="10" s="1"/>
  <c r="F42" i="3"/>
  <c r="F45" i="3" s="1"/>
  <c r="F51" i="3"/>
  <c r="F50" i="3"/>
  <c r="G23" i="1"/>
  <c r="G17" i="1"/>
  <c r="F49" i="3" l="1"/>
  <c r="E7" i="10"/>
  <c r="F49" i="10"/>
  <c r="F46" i="10"/>
  <c r="F16" i="10"/>
  <c r="F17" i="10"/>
  <c r="F5" i="10"/>
  <c r="F9" i="10"/>
  <c r="F15" i="10"/>
  <c r="G4" i="3"/>
  <c r="G20" i="3" s="1"/>
  <c r="G23" i="3" s="1"/>
  <c r="G24" i="1"/>
  <c r="F40" i="10" l="1"/>
  <c r="F41" i="10" s="1"/>
  <c r="F42" i="10"/>
  <c r="F39" i="10"/>
  <c r="F43" i="10"/>
  <c r="G48" i="3"/>
  <c r="G51" i="3"/>
  <c r="G42" i="3"/>
  <c r="G45" i="3" s="1"/>
  <c r="G50" i="3"/>
  <c r="G49" i="3" l="1"/>
  <c r="F7" i="10"/>
</calcChain>
</file>

<file path=xl/comments1.xml><?xml version="1.0" encoding="utf-8"?>
<comments xmlns="http://schemas.openxmlformats.org/spreadsheetml/2006/main">
  <authors>
    <author>Windows 10 Pro</author>
  </authors>
  <commentList>
    <comment ref="A11" authorId="0" shapeId="0">
      <text>
        <r>
          <rPr>
            <b/>
            <sz val="9"/>
            <color indexed="81"/>
            <rFont val="Tahoma"/>
            <charset val="1"/>
          </rPr>
          <t>Windows 10 Pro:</t>
        </r>
        <r>
          <rPr>
            <sz val="9"/>
            <color indexed="81"/>
            <rFont val="Tahoma"/>
            <charset val="1"/>
          </rPr>
          <t xml:space="preserve">
Depreciation &amp; Amortization is already embedded within the reported function-wise expenses such as Cost of Sales, Selling &amp; Marketing Expenses, and General &amp; Administration Expenses. It is shown separately only as an add-back for EBITDA calculation.</t>
        </r>
      </text>
    </comment>
    <comment ref="A12" authorId="0" shapeId="0">
      <text>
        <r>
          <rPr>
            <b/>
            <sz val="9"/>
            <color indexed="81"/>
            <rFont val="Tahoma"/>
            <charset val="1"/>
          </rPr>
          <t>Windows 10 Pro:</t>
        </r>
        <r>
          <rPr>
            <sz val="9"/>
            <color indexed="81"/>
            <rFont val="Tahoma"/>
            <charset val="1"/>
          </rPr>
          <t xml:space="preserve">
EBITDA is a management metric calculated as Operating Profit / EBIT + Depreciation &amp; Amortization.</t>
        </r>
      </text>
    </comment>
    <comment ref="A15" authorId="0" shapeId="0">
      <text>
        <r>
          <rPr>
            <b/>
            <sz val="9"/>
            <color indexed="81"/>
            <rFont val="Tahoma"/>
            <charset val="1"/>
          </rPr>
          <t>Windows 10 Pro:</t>
        </r>
        <r>
          <rPr>
            <sz val="9"/>
            <color indexed="81"/>
            <rFont val="Tahoma"/>
            <charset val="1"/>
          </rPr>
          <t xml:space="preserve">
PBT is calculated from EBIT, not EBITDA. Formula: EBIT + Other Income − Finance Cost.</t>
        </r>
      </text>
    </comment>
  </commentList>
</comments>
</file>

<file path=xl/sharedStrings.xml><?xml version="1.0" encoding="utf-8"?>
<sst xmlns="http://schemas.openxmlformats.org/spreadsheetml/2006/main" count="170" uniqueCount="153">
  <si>
    <t>INFOSYS LIMITED — Consolidated Income Statement  (₹ in Crore)</t>
  </si>
  <si>
    <t>Particulars (₹ Crore)</t>
  </si>
  <si>
    <t>Revenue from Operations</t>
  </si>
  <si>
    <t>Selling &amp; Marketing Expenses</t>
  </si>
  <si>
    <t>General &amp; Administration Expenses</t>
  </si>
  <si>
    <t>Operating Profit (EBIT)</t>
  </si>
  <si>
    <t>Finance Cost</t>
  </si>
  <si>
    <t>Profit Before Tax (PBT)</t>
  </si>
  <si>
    <t>Tax Expense</t>
  </si>
  <si>
    <t>EBITDA Margin %</t>
  </si>
  <si>
    <t>EBIT Margin %</t>
  </si>
  <si>
    <t>PAT Margin %</t>
  </si>
  <si>
    <t>INFOSYS LIMITED — Consolidated Balance Sheet  (₹ in Crore)</t>
  </si>
  <si>
    <t>A. NON-CURRENT ASSETS</t>
  </si>
  <si>
    <t>Total Non-Current Assets</t>
  </si>
  <si>
    <t>B. CURRENT ASSETS</t>
  </si>
  <si>
    <t>Other Current Assets</t>
  </si>
  <si>
    <t>Total Current Assets</t>
  </si>
  <si>
    <t>TOTAL ASSETS</t>
  </si>
  <si>
    <t>C. EQUITY</t>
  </si>
  <si>
    <t>Equity Share Capital</t>
  </si>
  <si>
    <t>Other Equity (Reserves &amp; Surplus)</t>
  </si>
  <si>
    <t>Non-controlling Interests</t>
  </si>
  <si>
    <t>Total Equity</t>
  </si>
  <si>
    <t>D. NON-CURRENT LIABILITIES</t>
  </si>
  <si>
    <t>Total Non-Current Liabilities</t>
  </si>
  <si>
    <t>E. CURRENT LIABILITIES</t>
  </si>
  <si>
    <t>Trade Payables</t>
  </si>
  <si>
    <t>Other Current Liabilities</t>
  </si>
  <si>
    <t>Total Current Liabilities</t>
  </si>
  <si>
    <t>TOTAL EQUITY &amp; LIABILITIES</t>
  </si>
  <si>
    <t>CHECK (Assets - Liabilities) = 0</t>
  </si>
  <si>
    <t>INFOSYS LIMITED — Consolidated Statement of Cash Flows — Indirect Method  (₹ in Crore)</t>
  </si>
  <si>
    <t>A.  CASH FLOW FROM OPERATING ACTIVITIES</t>
  </si>
  <si>
    <t>Profit for the Year (PAT)</t>
  </si>
  <si>
    <t>Adjustments — Non-Cash &amp; Reclassifications</t>
  </si>
  <si>
    <t>Changes in Working Capital</t>
  </si>
  <si>
    <t>Cash Generated from Operations</t>
  </si>
  <si>
    <t>NET CASH FROM OPERATING ACTIVITIES (A)</t>
  </si>
  <si>
    <t>B.  CASH FLOW FROM INVESTING ACTIVITIES</t>
  </si>
  <si>
    <t>NET CASH FROM INVESTING ACTIVITIES (B)</t>
  </si>
  <si>
    <t>C.  CASH FLOW FROM FINANCING ACTIVITIES</t>
  </si>
  <si>
    <t>NET CASH FROM FINANCING ACTIVITIES (C)</t>
  </si>
  <si>
    <t>D.  NET CHANGE &amp; CLOSING CASH</t>
  </si>
  <si>
    <t>Net Increase / (Decrease) in Cash</t>
  </si>
  <si>
    <t>Cash at Beginning of Year</t>
  </si>
  <si>
    <t>Cash at End of Year (CF Statement)</t>
  </si>
  <si>
    <t>Free Cash Flow  =  CFO + CapEx</t>
  </si>
  <si>
    <t>FCF Margin %  (FCF ÷ Revenue)</t>
  </si>
  <si>
    <t>CFO to PAT  (Cash Quality Ratio)</t>
  </si>
  <si>
    <t>CapEx to CFO %</t>
  </si>
  <si>
    <t>Fixed Assets</t>
  </si>
  <si>
    <t>Non-current Investments</t>
  </si>
  <si>
    <t>Current Investments</t>
  </si>
  <si>
    <t>Trade Receivables</t>
  </si>
  <si>
    <t>Cash &amp; Cash Equivalents</t>
  </si>
  <si>
    <t>Other Non-Current Liabilities</t>
  </si>
  <si>
    <t>Gross Profit Margin %</t>
  </si>
  <si>
    <t>Gross Profit</t>
  </si>
  <si>
    <t>Cost of Sales</t>
  </si>
  <si>
    <t>Total Operating Expenses</t>
  </si>
  <si>
    <t>Depreciation &amp; Amortization</t>
  </si>
  <si>
    <t>Operating Expenses</t>
  </si>
  <si>
    <t>KEY MARGINS</t>
  </si>
  <si>
    <t xml:space="preserve">Effective Tax Rate </t>
  </si>
  <si>
    <t>Other Income / Non-operating Income</t>
  </si>
  <si>
    <r>
      <t xml:space="preserve">EBITDA </t>
    </r>
    <r>
      <rPr>
        <sz val="11"/>
        <color rgb="FF000000"/>
        <rFont val="Calibri"/>
        <family val="2"/>
      </rPr>
      <t/>
    </r>
  </si>
  <si>
    <t>ASSETS</t>
  </si>
  <si>
    <t>YoY Revenue Growth %</t>
  </si>
  <si>
    <t xml:space="preserve">Note: Depreciation &amp; Amortization is embedded within the reported function-wise expense categories such as Cost of Sales and Operating Expenses. Therefore, it is not deducted separately again in the main Income Statement. For analytical purposes, EBITDA is calculated by adding back the total Depreciation &amp; Amortization expense to EBIT. The D&amp;A figure is sourced from the Infosys Annual Report.
</t>
  </si>
  <si>
    <t>Source: Infosys Annual Reports,Consolidated Financial Statements &amp; Statutory reports</t>
  </si>
  <si>
    <t>Profit After Tax (PAT) or Profit for the Year</t>
  </si>
  <si>
    <t>FY2021</t>
  </si>
  <si>
    <t>FY2022</t>
  </si>
  <si>
    <t>FY2023</t>
  </si>
  <si>
    <t>FY2024</t>
  </si>
  <si>
    <t>FY2025</t>
  </si>
  <si>
    <t>Source: Infosys Annual Reports,Consolidated Financial Statements</t>
  </si>
  <si>
    <t>FY 2020</t>
  </si>
  <si>
    <t>Other Non-current Assets</t>
  </si>
  <si>
    <t>Non-current Lease Liabilities</t>
  </si>
  <si>
    <t>Goodwill &amp; Intangible Assets</t>
  </si>
  <si>
    <t>EPS — Basic  (₹)</t>
  </si>
  <si>
    <t>Total Equity Attributable to Owners</t>
  </si>
  <si>
    <t>INFOSYS LIMITED − Ratio Analysis (FY 2020 to FY 2025)</t>
  </si>
  <si>
    <t>Ratio</t>
  </si>
  <si>
    <t>FY 2021</t>
  </si>
  <si>
    <t>FY 2022</t>
  </si>
  <si>
    <t>FY 2023</t>
  </si>
  <si>
    <t xml:space="preserve">FY 2024 </t>
  </si>
  <si>
    <t>FY 2025</t>
  </si>
  <si>
    <t xml:space="preserve">Gross Profit Margin </t>
  </si>
  <si>
    <t xml:space="preserve">EBITDA Margin </t>
  </si>
  <si>
    <t>EBIT (Operating) Margin</t>
  </si>
  <si>
    <t xml:space="preserve">PAT (Net Profit) Margin </t>
  </si>
  <si>
    <t>Return on Equity (ROE)</t>
  </si>
  <si>
    <t>Return on Assets (ROA)</t>
  </si>
  <si>
    <t>Return on Capital Employed (ROCE)</t>
  </si>
  <si>
    <t>5-Year Revenue CAGR</t>
  </si>
  <si>
    <t>5-Year PAT CAGR</t>
  </si>
  <si>
    <t>Current Ratio</t>
  </si>
  <si>
    <t>Quick Ratio (Acid Test)</t>
  </si>
  <si>
    <t>Cash Ratio</t>
  </si>
  <si>
    <t>Day Sales Outstanding (DSO)</t>
  </si>
  <si>
    <t>Day Payables Outstanding (DPO)</t>
  </si>
  <si>
    <t>Asset Turnover ratio</t>
  </si>
  <si>
    <t>Fixed Asset Turnover</t>
  </si>
  <si>
    <t>Debt-to-Equity Ratio</t>
  </si>
  <si>
    <t>Debt-to-Assets Ratio</t>
  </si>
  <si>
    <t>Equity Multiplier</t>
  </si>
  <si>
    <t>CFO to PAT (Earnings Quality)</t>
  </si>
  <si>
    <t>Free Cash Flow (FCF)</t>
  </si>
  <si>
    <t>FCF Margin</t>
  </si>
  <si>
    <t>CapEx to CFO (Reinvestment Rate)</t>
  </si>
  <si>
    <t>Interest Coverage Ratio</t>
  </si>
  <si>
    <t>Cash Return to Shareholders %</t>
  </si>
  <si>
    <t>Net Profit Margin (Driver 1)</t>
  </si>
  <si>
    <t>Asset Turnover (Driver 2)</t>
  </si>
  <si>
    <t>Equity Multiplier (Driver 3)</t>
  </si>
  <si>
    <t>2.PROFITABILITY RATIOS ─ How well does Infosys convert revenue into profit ?</t>
  </si>
  <si>
    <t>4. EFFICIENCY RATIOS ─ How effectively does Infosys use its assets?</t>
  </si>
  <si>
    <t>3. LIQUIDITY RATIOS ─ Can Infosys meet its short-term obligations?</t>
  </si>
  <si>
    <t>5. SOLVENCY RATIOS ─ Is Infosys financially stable long-term?</t>
  </si>
  <si>
    <t>6. CASHFLOW RATIOS ─ Is Infosys's profit backed by real cash?</t>
  </si>
  <si>
    <t>7. DuPont Analysis ─ Decomposing ROE into 3 drivers</t>
  </si>
  <si>
    <r>
      <t>1. GROWTH RATIOS ─</t>
    </r>
    <r>
      <rPr>
        <b/>
        <sz val="8.4"/>
        <color theme="0"/>
        <rFont val="Calibri"/>
        <family val="2"/>
      </rPr>
      <t xml:space="preserve"> </t>
    </r>
    <r>
      <rPr>
        <b/>
        <sz val="12"/>
        <color theme="0"/>
        <rFont val="Calibri"/>
        <family val="2"/>
      </rPr>
      <t>Is Infosys growing consistently over time?</t>
    </r>
  </si>
  <si>
    <t>Revenue Growth YoY</t>
  </si>
  <si>
    <t>PAT Growth YoY</t>
  </si>
  <si>
    <t>EPS Growth YoY</t>
  </si>
  <si>
    <t>FCF Growth YoY</t>
  </si>
  <si>
    <t>DuPont ROE = D1 x D2 x D3</t>
  </si>
  <si>
    <t>Income Tax Expense</t>
  </si>
  <si>
    <t>Interest &amp; Dividend Income</t>
  </si>
  <si>
    <t>Exchange Differences, net</t>
  </si>
  <si>
    <t>Stock Compensation, Imairment &amp; Other Adjustments</t>
  </si>
  <si>
    <t>Trade Receivables &amp; Unbilled Revenue</t>
  </si>
  <si>
    <t>Loans &amp; Other Financial Assets</t>
  </si>
  <si>
    <t>Loans &amp; Other Financial Liabilities</t>
  </si>
  <si>
    <t>Income Taxes Paid</t>
  </si>
  <si>
    <t>CapEx — PP&amp;E &amp; Intangibles</t>
  </si>
  <si>
    <t xml:space="preserve">Acquisition of Business </t>
  </si>
  <si>
    <t>Interest &amp; Dividend Received</t>
  </si>
  <si>
    <t>Net Investment Activity</t>
  </si>
  <si>
    <t>Dividends Paid</t>
  </si>
  <si>
    <t>Payment of Lease Liabilities</t>
  </si>
  <si>
    <t>Buyback of Equity Shares</t>
  </si>
  <si>
    <t>Other Financing</t>
  </si>
  <si>
    <t>Exchange Rate Effect on Cash</t>
  </si>
  <si>
    <t>LIABILITIES</t>
  </si>
  <si>
    <t>EQUITY</t>
  </si>
  <si>
    <t>FY 2024</t>
  </si>
  <si>
    <t>Working Capital Turnover</t>
  </si>
  <si>
    <t xml:space="preserve">E.  KEY METRICS </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</si>
</sst>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4" formatCode="_(&quot;$&quot;* #,##0.00_);_(&quot;$&quot;* \(#,##0.00\);_(&quot;$&quot;* &quot;-&quot;??_);_(@_)"/>
    <numFmt numFmtId="43" formatCode="_(* #,##0.00_);_(* \(#,##0.00\);_(* &quot;-&quot;??_);_(@_)"/>
    <numFmt numFmtId="164" formatCode="#,##0;\(#,##0\);\-"/>
    <numFmt numFmtId="165" formatCode="0.0%;\(0.0%\);\-"/>
    <numFmt numFmtId="166" formatCode="0.00\x"/>
    <numFmt numFmtId="167" formatCode="0.0%"/>
    <numFmt numFmtId="168" formatCode="0.0\x"/>
    <numFmt numFmtId="169" formatCode="0&quot; days&quot;"/>
    <numFmt numFmtId="170" formatCode="0_);[Red]\(0\)"/>
  </numFmts>
  <fonts count="43" x14ac:knownFonts="1">
    <font>
      <sz val="11"/>
      <color theme="1"/>
      <name val="Calibri"/>
      <family val="2"/>
      <charset val="1"/>
    </font>
    <font>
      <sz val="11"/>
      <color theme="1"/>
      <name val="Calibri"/>
      <family val="2"/>
      <scheme val="minor"/>
    </font>
    <font>
      <b/>
      <sz val="11"/>
      <color rgb="FFFFFFFF"/>
      <name val="Calibri"/>
      <family val="2"/>
      <charset val="1"/>
    </font>
    <font>
      <sz val="10"/>
      <color rgb="FF0000FF"/>
      <name val="Arial"/>
      <family val="2"/>
      <charset val="1"/>
    </font>
    <font>
      <sz val="11"/>
      <name val="Calibri"/>
      <family val="2"/>
      <charset val="1"/>
    </font>
    <font>
      <sz val="11"/>
      <color rgb="FF0000FF"/>
      <name val="Calibri"/>
      <family val="2"/>
      <charset val="1"/>
    </font>
    <font>
      <b/>
      <sz val="11"/>
      <color rgb="FF000000"/>
      <name val="Calibri"/>
      <family val="2"/>
      <charset val="1"/>
    </font>
    <font>
      <sz val="10"/>
      <color rgb="FF000000"/>
      <name val="Arial"/>
      <charset val="1"/>
    </font>
    <font>
      <sz val="11"/>
      <color theme="1"/>
      <name val="Calibri"/>
      <family val="2"/>
      <charset val="1"/>
    </font>
    <font>
      <b/>
      <i/>
      <sz val="11"/>
      <color rgb="FF000000"/>
      <name val="Calibri"/>
      <family val="2"/>
    </font>
    <font>
      <sz val="11"/>
      <color rgb="FF000000"/>
      <name val="Calibri"/>
      <family val="2"/>
    </font>
    <font>
      <i/>
      <sz val="11"/>
      <color theme="1"/>
      <name val="Calibri"/>
      <family val="2"/>
    </font>
    <font>
      <b/>
      <sz val="11"/>
      <color theme="0"/>
      <name val="Calibri"/>
      <family val="2"/>
    </font>
    <font>
      <sz val="10"/>
      <color rgb="FF0000FF"/>
      <name val="Arial"/>
      <family val="2"/>
    </font>
    <font>
      <sz val="11"/>
      <color rgb="FF0000FF"/>
      <name val="Calibri"/>
      <family val="2"/>
    </font>
    <font>
      <sz val="10"/>
      <color rgb="FF000000"/>
      <name val="Calibri"/>
      <family val="2"/>
      <scheme val="minor"/>
    </font>
    <font>
      <sz val="11"/>
      <color rgb="FF0000FF"/>
      <name val="Calibri"/>
      <family val="2"/>
      <scheme val="minor"/>
    </font>
    <font>
      <sz val="10"/>
      <color rgb="FF0000FF"/>
      <name val="Calibri"/>
      <family val="2"/>
      <scheme val="minor"/>
    </font>
    <font>
      <b/>
      <sz val="14"/>
      <color rgb="FFFFFFFF"/>
      <name val="Calibri"/>
      <family val="2"/>
      <scheme val="minor"/>
    </font>
    <font>
      <b/>
      <sz val="12"/>
      <color theme="1"/>
      <name val="Calibri"/>
      <family val="2"/>
    </font>
    <font>
      <b/>
      <sz val="14"/>
      <color theme="0"/>
      <name val="Calibri"/>
      <family val="2"/>
    </font>
    <font>
      <b/>
      <sz val="12"/>
      <color rgb="FFFFFFFF"/>
      <name val="Calibri"/>
      <family val="2"/>
      <charset val="1"/>
    </font>
    <font>
      <b/>
      <sz val="12"/>
      <name val="Calibri"/>
      <family val="2"/>
    </font>
    <font>
      <b/>
      <sz val="12"/>
      <name val="Calibri"/>
      <family val="2"/>
      <charset val="1"/>
    </font>
    <font>
      <b/>
      <sz val="12"/>
      <color rgb="FF000000"/>
      <name val="Calibri"/>
      <family val="2"/>
      <charset val="1"/>
    </font>
    <font>
      <b/>
      <sz val="14"/>
      <color rgb="FFFFFFFF"/>
      <name val="Calibri"/>
      <family val="2"/>
      <charset val="1"/>
    </font>
    <font>
      <b/>
      <sz val="12"/>
      <color theme="0"/>
      <name val="Calibri"/>
      <family val="2"/>
      <charset val="1"/>
    </font>
    <font>
      <b/>
      <i/>
      <sz val="12"/>
      <name val="Calibri"/>
      <family val="2"/>
      <scheme val="minor"/>
    </font>
    <font>
      <b/>
      <i/>
      <sz val="12"/>
      <name val="Calibri"/>
      <family val="2"/>
    </font>
    <font>
      <b/>
      <i/>
      <sz val="12"/>
      <color rgb="FF000000"/>
      <name val="Calibri"/>
      <family val="2"/>
    </font>
    <font>
      <b/>
      <i/>
      <sz val="12"/>
      <color theme="1"/>
      <name val="Calibri"/>
      <family val="2"/>
    </font>
    <font>
      <sz val="12"/>
      <color theme="1"/>
      <name val="Calibri"/>
      <family val="2"/>
      <charset val="1"/>
    </font>
    <font>
      <b/>
      <sz val="12"/>
      <color theme="0"/>
      <name val="Calibri"/>
      <family val="2"/>
    </font>
    <font>
      <b/>
      <sz val="12"/>
      <color rgb="FFFFFFFF"/>
      <name val="Calibri"/>
      <family val="2"/>
    </font>
    <font>
      <b/>
      <sz val="12"/>
      <color theme="1"/>
      <name val="Calibri"/>
      <family val="2"/>
      <charset val="1"/>
    </font>
    <font>
      <b/>
      <sz val="12"/>
      <color rgb="FFFFFFFF"/>
      <name val="Calibri"/>
      <family val="2"/>
      <scheme val="minor"/>
    </font>
    <font>
      <sz val="12"/>
      <color theme="1"/>
      <name val="Calibri"/>
      <family val="2"/>
      <scheme val="minor"/>
    </font>
    <font>
      <b/>
      <sz val="12"/>
      <color rgb="FF000000"/>
      <name val="Calibri"/>
      <family val="2"/>
      <scheme val="minor"/>
    </font>
    <font>
      <b/>
      <i/>
      <sz val="11"/>
      <color rgb="FF000000"/>
      <name val="Calibri"/>
      <family val="2"/>
      <scheme val="minor"/>
    </font>
    <font>
      <b/>
      <sz val="8.4"/>
      <color theme="0"/>
      <name val="Calibri"/>
      <family val="2"/>
    </font>
    <font>
      <b/>
      <sz val="11"/>
      <color theme="1"/>
      <name val="Calibri"/>
      <family val="2"/>
    </font>
    <font>
      <sz val="9"/>
      <color indexed="81"/>
      <name val="Tahoma"/>
      <charset val="1"/>
    </font>
    <font>
      <b/>
      <sz val="9"/>
      <color indexed="81"/>
      <name val="Tahoma"/>
      <charset val="1"/>
    </font>
  </fonts>
  <fills count="35">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E2EFDA"/>
        <bgColor rgb="FFEBF5EB"/>
      </patternFill>
    </fill>
    <fill>
      <patternFill patternType="solid">
        <fgColor rgb="FFFCE4D6"/>
        <bgColor rgb="FFFFF2CC"/>
      </patternFill>
    </fill>
    <fill>
      <patternFill patternType="solid">
        <fgColor rgb="FFFFFFFF"/>
        <bgColor rgb="FFFFF8E7"/>
      </patternFill>
    </fill>
    <fill>
      <patternFill patternType="solid">
        <fgColor rgb="FFEAE0F0"/>
        <bgColor rgb="FFD9E1F2"/>
      </patternFill>
    </fill>
    <fill>
      <patternFill patternType="solid">
        <fgColor theme="9" tint="0.79998168889431442"/>
        <bgColor rgb="FFEBF5EB"/>
      </patternFill>
    </fill>
    <fill>
      <patternFill patternType="solid">
        <fgColor rgb="FF0070C0"/>
        <bgColor rgb="FF0066CC"/>
      </patternFill>
    </fill>
    <fill>
      <patternFill patternType="solid">
        <fgColor theme="3" tint="-0.249977111117893"/>
        <bgColor rgb="FF333333"/>
      </patternFill>
    </fill>
    <fill>
      <patternFill patternType="solid">
        <fgColor theme="9" tint="0.79998168889431442"/>
        <bgColor rgb="FFFFF2CC"/>
      </patternFill>
    </fill>
    <fill>
      <patternFill patternType="solid">
        <fgColor rgb="FF0070C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002060"/>
        <bgColor indexed="64"/>
      </patternFill>
    </fill>
    <fill>
      <patternFill patternType="solid">
        <fgColor rgb="FF002060"/>
        <bgColor rgb="FF333333"/>
      </patternFill>
    </fill>
    <fill>
      <patternFill patternType="solid">
        <fgColor theme="0" tint="-0.14999847407452621"/>
        <bgColor indexed="64"/>
      </patternFill>
    </fill>
    <fill>
      <patternFill patternType="solid">
        <fgColor theme="6" tint="0.79998168889431442"/>
        <bgColor rgb="FFEBF5EB"/>
      </patternFill>
    </fill>
    <fill>
      <patternFill patternType="solid">
        <fgColor rgb="FF002060"/>
        <bgColor rgb="FF0066CC"/>
      </patternFill>
    </fill>
    <fill>
      <patternFill patternType="solid">
        <fgColor theme="7" tint="0.79998168889431442"/>
        <bgColor rgb="FF0066CC"/>
      </patternFill>
    </fill>
    <fill>
      <patternFill patternType="solid">
        <fgColor theme="7" tint="0.79998168889431442"/>
        <bgColor rgb="FFFFF2CC"/>
      </patternFill>
    </fill>
    <fill>
      <patternFill patternType="solid">
        <fgColor theme="2" tint="-9.9978637043366805E-2"/>
        <bgColor indexed="64"/>
      </patternFill>
    </fill>
    <fill>
      <patternFill patternType="solid">
        <fgColor theme="6" tint="-0.499984740745262"/>
        <bgColor indexed="64"/>
      </patternFill>
    </fill>
    <fill>
      <patternFill patternType="solid">
        <fgColor theme="4" tint="-0.499984740745262"/>
        <bgColor indexed="64"/>
      </patternFill>
    </fill>
    <fill>
      <patternFill patternType="solid">
        <fgColor theme="5" tint="-0.499984740745262"/>
        <bgColor indexed="6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tint="-0.749992370372631"/>
        <bgColor indexed="64"/>
      </patternFill>
    </fill>
    <fill>
      <patternFill patternType="solid">
        <fgColor rgb="FFFFFFCC"/>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n">
        <color theme="0"/>
      </bottom>
      <diagonal/>
    </border>
    <border>
      <left/>
      <right/>
      <top style="thin">
        <color theme="0"/>
      </top>
      <bottom/>
      <diagonal/>
    </border>
    <border>
      <left/>
      <right/>
      <top style="thin">
        <color indexed="64"/>
      </top>
      <bottom/>
      <diagonal/>
    </border>
    <border>
      <left/>
      <right/>
      <top style="thin">
        <color indexed="64"/>
      </top>
      <bottom style="thin">
        <color indexed="64"/>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theme="0"/>
      </right>
      <top/>
      <bottom/>
      <diagonal/>
    </border>
    <border>
      <left/>
      <right/>
      <top style="thin">
        <color theme="0"/>
      </top>
      <bottom style="thin">
        <color theme="0"/>
      </bottom>
      <diagonal/>
    </border>
  </borders>
  <cellStyleXfs count="3">
    <xf numFmtId="0" fontId="0" fillId="0" borderId="0"/>
    <xf numFmtId="9" fontId="8" fillId="0" borderId="0" applyFont="0" applyFill="0" applyBorder="0" applyAlignment="0" applyProtection="0"/>
    <xf numFmtId="44" fontId="8" fillId="0" borderId="0" applyFont="0" applyFill="0" applyBorder="0" applyAlignment="0" applyProtection="0"/>
  </cellStyleXfs>
  <cellXfs count="140">
    <xf numFmtId="0" fontId="0" fillId="0" borderId="0" xfId="0"/>
    <xf numFmtId="0" fontId="0" fillId="0" borderId="0" xfId="0" applyAlignment="1"/>
    <xf numFmtId="164" fontId="3" fillId="0" borderId="0" xfId="0" applyNumberFormat="1" applyFont="1" applyAlignment="1">
      <alignment horizontal="right" vertical="center"/>
    </xf>
    <xf numFmtId="0" fontId="0" fillId="0" borderId="0" xfId="0" applyFont="1" applyBorder="1" applyAlignment="1">
      <alignment horizontal="left" indent="1"/>
    </xf>
    <xf numFmtId="0" fontId="0" fillId="0" borderId="0" xfId="0" applyFont="1" applyBorder="1"/>
    <xf numFmtId="0" fontId="0" fillId="0" borderId="0" xfId="0" applyFont="1"/>
    <xf numFmtId="0" fontId="0" fillId="0" borderId="0" xfId="0" applyFont="1" applyAlignment="1">
      <alignment horizontal="left" indent="1"/>
    </xf>
    <xf numFmtId="0" fontId="4" fillId="0" borderId="0" xfId="0" applyFont="1" applyBorder="1" applyAlignment="1">
      <alignment horizontal="left" vertical="center" indent="1"/>
    </xf>
    <xf numFmtId="164" fontId="5" fillId="0" borderId="0" xfId="0" applyNumberFormat="1" applyFont="1" applyBorder="1" applyAlignment="1">
      <alignment horizontal="right" vertical="center"/>
    </xf>
    <xf numFmtId="0" fontId="0" fillId="0" borderId="0" xfId="0" applyFont="1" applyAlignment="1">
      <alignment horizontal="left" vertical="center" indent="1"/>
    </xf>
    <xf numFmtId="0" fontId="0" fillId="0" borderId="0" xfId="0" applyFill="1"/>
    <xf numFmtId="0" fontId="0" fillId="0" borderId="0" xfId="0" applyBorder="1" applyAlignment="1"/>
    <xf numFmtId="0" fontId="2" fillId="9" borderId="0" xfId="0" applyFont="1" applyFill="1" applyBorder="1" applyAlignment="1">
      <alignment horizontal="left" vertical="center"/>
    </xf>
    <xf numFmtId="164" fontId="6" fillId="0" borderId="0" xfId="0" applyNumberFormat="1" applyFont="1" applyFill="1" applyBorder="1" applyAlignment="1">
      <alignment horizontal="right" vertical="center"/>
    </xf>
    <xf numFmtId="0" fontId="4" fillId="0" borderId="0" xfId="0" applyFont="1" applyFill="1" applyBorder="1" applyAlignment="1">
      <alignment horizontal="left" vertical="center" indent="1"/>
    </xf>
    <xf numFmtId="0" fontId="10" fillId="0" borderId="0" xfId="0" applyFont="1" applyFill="1" applyBorder="1" applyAlignment="1">
      <alignment horizontal="left" vertical="center" indent="1"/>
    </xf>
    <xf numFmtId="164" fontId="0" fillId="0" borderId="0" xfId="0" applyNumberFormat="1"/>
    <xf numFmtId="3" fontId="0" fillId="0" borderId="0" xfId="0" applyNumberFormat="1"/>
    <xf numFmtId="0" fontId="9" fillId="0" borderId="0" xfId="0" applyFont="1" applyFill="1" applyBorder="1" applyAlignment="1">
      <alignment horizontal="left" vertical="center" indent="1"/>
    </xf>
    <xf numFmtId="165" fontId="9" fillId="0" borderId="0" xfId="0" applyNumberFormat="1" applyFont="1" applyFill="1" applyBorder="1" applyAlignment="1">
      <alignment horizontal="right" vertical="center"/>
    </xf>
    <xf numFmtId="0" fontId="0" fillId="16" borderId="0" xfId="0" applyFont="1" applyFill="1"/>
    <xf numFmtId="0" fontId="2" fillId="20" borderId="0" xfId="0" applyFont="1" applyFill="1" applyBorder="1" applyAlignment="1">
      <alignment horizontal="left" vertical="center"/>
    </xf>
    <xf numFmtId="3" fontId="0" fillId="0" borderId="0" xfId="0" applyNumberFormat="1" applyFill="1"/>
    <xf numFmtId="164" fontId="0" fillId="0" borderId="0" xfId="0" applyNumberFormat="1" applyFill="1"/>
    <xf numFmtId="0" fontId="7" fillId="0" borderId="0" xfId="0" applyFont="1" applyFill="1" applyBorder="1" applyAlignment="1">
      <alignment horizontal="left" vertical="center" indent="2"/>
    </xf>
    <xf numFmtId="0" fontId="5" fillId="0" borderId="0" xfId="0" applyFont="1" applyFill="1" applyBorder="1"/>
    <xf numFmtId="0" fontId="5" fillId="0" borderId="0" xfId="0" applyFont="1" applyBorder="1"/>
    <xf numFmtId="0" fontId="5" fillId="0" borderId="0" xfId="0" applyFont="1"/>
    <xf numFmtId="164" fontId="5" fillId="0" borderId="0" xfId="0" applyNumberFormat="1" applyFont="1" applyFill="1" applyBorder="1" applyAlignment="1">
      <alignment horizontal="right" vertical="center"/>
    </xf>
    <xf numFmtId="164" fontId="14" fillId="0" borderId="0" xfId="0" applyNumberFormat="1" applyFont="1" applyFill="1" applyBorder="1" applyAlignment="1">
      <alignment horizontal="right" vertical="center"/>
    </xf>
    <xf numFmtId="0" fontId="1" fillId="2" borderId="0" xfId="0" applyFont="1" applyFill="1" applyBorder="1" applyAlignment="1"/>
    <xf numFmtId="0" fontId="15" fillId="6" borderId="0" xfId="0" applyFont="1" applyFill="1" applyBorder="1" applyAlignment="1">
      <alignment horizontal="left" vertical="center" indent="2"/>
    </xf>
    <xf numFmtId="0" fontId="1" fillId="0" borderId="0" xfId="0" applyFont="1" applyBorder="1" applyAlignment="1"/>
    <xf numFmtId="0" fontId="1" fillId="3" borderId="0" xfId="0" applyFont="1" applyFill="1" applyBorder="1" applyAlignment="1"/>
    <xf numFmtId="0" fontId="15" fillId="0" borderId="0" xfId="0" applyFont="1" applyFill="1" applyBorder="1" applyAlignment="1">
      <alignment horizontal="left" vertical="center" indent="2"/>
    </xf>
    <xf numFmtId="0" fontId="16" fillId="0" borderId="0" xfId="0" applyFont="1" applyFill="1" applyBorder="1" applyAlignment="1">
      <alignment horizontal="right"/>
    </xf>
    <xf numFmtId="164" fontId="17" fillId="0" borderId="0" xfId="0" applyNumberFormat="1" applyFont="1" applyFill="1" applyBorder="1" applyAlignment="1">
      <alignment horizontal="right"/>
    </xf>
    <xf numFmtId="164" fontId="17" fillId="6" borderId="0" xfId="0" applyNumberFormat="1" applyFont="1" applyFill="1" applyBorder="1" applyAlignment="1">
      <alignment horizontal="right"/>
    </xf>
    <xf numFmtId="0" fontId="21" fillId="9" borderId="2" xfId="0" applyFont="1" applyFill="1" applyBorder="1" applyAlignment="1">
      <alignment horizontal="center" vertical="center" wrapText="1"/>
    </xf>
    <xf numFmtId="0" fontId="22" fillId="0" borderId="0" xfId="0" applyFont="1" applyBorder="1" applyAlignment="1">
      <alignment horizontal="left" vertical="center" indent="1"/>
    </xf>
    <xf numFmtId="164" fontId="19" fillId="0" borderId="0" xfId="0" applyNumberFormat="1" applyFont="1" applyBorder="1" applyAlignment="1">
      <alignment horizontal="right" vertical="center"/>
    </xf>
    <xf numFmtId="0" fontId="23" fillId="14" borderId="4" xfId="0" applyFont="1" applyFill="1" applyBorder="1" applyAlignment="1">
      <alignment horizontal="left" vertical="center" indent="1"/>
    </xf>
    <xf numFmtId="164" fontId="24" fillId="14" borderId="4" xfId="0" applyNumberFormat="1" applyFont="1" applyFill="1" applyBorder="1" applyAlignment="1">
      <alignment horizontal="right" vertical="center"/>
    </xf>
    <xf numFmtId="0" fontId="23" fillId="0" borderId="0" xfId="0" applyFont="1" applyFill="1" applyBorder="1" applyAlignment="1">
      <alignment horizontal="left" vertical="center" indent="1"/>
    </xf>
    <xf numFmtId="0" fontId="24" fillId="14" borderId="5" xfId="0" applyFont="1" applyFill="1" applyBorder="1" applyAlignment="1">
      <alignment horizontal="left" vertical="center" indent="1"/>
    </xf>
    <xf numFmtId="0" fontId="24" fillId="14" borderId="4" xfId="0" applyFont="1" applyFill="1" applyBorder="1" applyAlignment="1">
      <alignment horizontal="left" vertical="center" indent="1"/>
    </xf>
    <xf numFmtId="0" fontId="21" fillId="20" borderId="0" xfId="0" applyFont="1" applyFill="1" applyBorder="1" applyAlignment="1">
      <alignment horizontal="left" vertical="center" indent="1"/>
    </xf>
    <xf numFmtId="0" fontId="27" fillId="21" borderId="0" xfId="0" applyFont="1" applyFill="1" applyBorder="1" applyAlignment="1">
      <alignment horizontal="left" vertical="center" indent="1"/>
    </xf>
    <xf numFmtId="10" fontId="28" fillId="21" borderId="0" xfId="1" applyNumberFormat="1" applyFont="1" applyFill="1" applyBorder="1" applyAlignment="1">
      <alignment horizontal="right" vertical="center"/>
    </xf>
    <xf numFmtId="0" fontId="29" fillId="22" borderId="0" xfId="0" applyFont="1" applyFill="1" applyBorder="1" applyAlignment="1">
      <alignment horizontal="left" vertical="center" indent="1"/>
    </xf>
    <xf numFmtId="165" fontId="29" fillId="22" borderId="0" xfId="0" applyNumberFormat="1" applyFont="1" applyFill="1" applyBorder="1" applyAlignment="1">
      <alignment horizontal="right" vertical="center"/>
    </xf>
    <xf numFmtId="0" fontId="30" fillId="15" borderId="0" xfId="0" applyFont="1" applyFill="1" applyAlignment="1">
      <alignment horizontal="left" vertical="center" indent="1"/>
    </xf>
    <xf numFmtId="0" fontId="21" fillId="9" borderId="0" xfId="0" applyFont="1" applyFill="1" applyBorder="1" applyAlignment="1">
      <alignment horizontal="center" vertical="center"/>
    </xf>
    <xf numFmtId="0" fontId="21" fillId="9" borderId="0" xfId="0" applyFont="1" applyFill="1" applyBorder="1" applyAlignment="1">
      <alignment horizontal="center" vertical="center" wrapText="1"/>
    </xf>
    <xf numFmtId="0" fontId="26" fillId="16" borderId="0" xfId="0" applyFont="1" applyFill="1" applyBorder="1" applyAlignment="1">
      <alignment horizontal="center" vertical="center"/>
    </xf>
    <xf numFmtId="0" fontId="21" fillId="16" borderId="0" xfId="0" applyFont="1" applyFill="1" applyBorder="1" applyAlignment="1">
      <alignment horizontal="center" vertical="center"/>
    </xf>
    <xf numFmtId="0" fontId="21" fillId="9" borderId="0" xfId="0" applyFont="1" applyFill="1" applyBorder="1" applyAlignment="1">
      <alignment horizontal="left" vertical="center"/>
    </xf>
    <xf numFmtId="0" fontId="24" fillId="19" borderId="0" xfId="0" applyFont="1" applyFill="1" applyBorder="1" applyAlignment="1">
      <alignment horizontal="left" vertical="center"/>
    </xf>
    <xf numFmtId="164" fontId="23" fillId="19" borderId="0" xfId="0" applyNumberFormat="1" applyFont="1" applyFill="1" applyBorder="1" applyAlignment="1">
      <alignment horizontal="right" vertical="center"/>
    </xf>
    <xf numFmtId="0" fontId="31" fillId="0" borderId="0" xfId="0" applyFont="1"/>
    <xf numFmtId="164" fontId="24" fillId="19" borderId="0" xfId="0" applyNumberFormat="1" applyFont="1" applyFill="1" applyBorder="1" applyAlignment="1">
      <alignment horizontal="right" vertical="center"/>
    </xf>
    <xf numFmtId="0" fontId="32" fillId="16" borderId="0" xfId="0" applyFont="1" applyFill="1" applyAlignment="1">
      <alignment horizontal="center" vertical="center"/>
    </xf>
    <xf numFmtId="0" fontId="33" fillId="9" borderId="0" xfId="0" applyFont="1" applyFill="1" applyBorder="1" applyAlignment="1">
      <alignment horizontal="left" vertical="center"/>
    </xf>
    <xf numFmtId="164" fontId="34" fillId="19" borderId="0" xfId="0" applyNumberFormat="1" applyFont="1" applyFill="1" applyBorder="1" applyAlignment="1">
      <alignment horizontal="right" vertical="center"/>
    </xf>
    <xf numFmtId="0" fontId="24" fillId="11" borderId="0" xfId="0" applyFont="1" applyFill="1" applyBorder="1" applyAlignment="1">
      <alignment horizontal="left" vertical="center" indent="1"/>
    </xf>
    <xf numFmtId="164" fontId="23" fillId="8" borderId="0" xfId="0" applyNumberFormat="1" applyFont="1" applyFill="1" applyBorder="1" applyAlignment="1">
      <alignment horizontal="right" vertical="center"/>
    </xf>
    <xf numFmtId="0" fontId="35" fillId="3" borderId="0" xfId="0" applyFont="1" applyFill="1" applyBorder="1" applyAlignment="1">
      <alignment horizontal="center" vertical="center"/>
    </xf>
    <xf numFmtId="0" fontId="35" fillId="2" borderId="0" xfId="0" applyFont="1" applyFill="1" applyBorder="1" applyAlignment="1">
      <alignment horizontal="left" vertical="center"/>
    </xf>
    <xf numFmtId="0" fontId="36" fillId="2" borderId="0" xfId="0" applyFont="1" applyFill="1" applyBorder="1" applyAlignment="1"/>
    <xf numFmtId="0" fontId="35" fillId="3" borderId="0" xfId="0" applyFont="1" applyFill="1" applyBorder="1" applyAlignment="1">
      <alignment horizontal="left" vertical="center"/>
    </xf>
    <xf numFmtId="0" fontId="37" fillId="4" borderId="0" xfId="0" applyFont="1" applyFill="1" applyBorder="1" applyAlignment="1">
      <alignment horizontal="left" vertical="center"/>
    </xf>
    <xf numFmtId="164" fontId="37" fillId="4" borderId="0" xfId="0" applyNumberFormat="1" applyFont="1" applyFill="1" applyBorder="1" applyAlignment="1">
      <alignment horizontal="right"/>
    </xf>
    <xf numFmtId="0" fontId="37" fillId="5" borderId="0" xfId="0" applyFont="1" applyFill="1" applyBorder="1" applyAlignment="1">
      <alignment horizontal="left" vertical="center"/>
    </xf>
    <xf numFmtId="164" fontId="37" fillId="5" borderId="0" xfId="0" applyNumberFormat="1" applyFont="1" applyFill="1" applyBorder="1" applyAlignment="1">
      <alignment horizontal="right"/>
    </xf>
    <xf numFmtId="0" fontId="38" fillId="7" borderId="0" xfId="0" applyFont="1" applyFill="1" applyBorder="1" applyAlignment="1">
      <alignment horizontal="left" vertical="center" indent="1"/>
    </xf>
    <xf numFmtId="164" fontId="38" fillId="7" borderId="0" xfId="0" applyNumberFormat="1" applyFont="1" applyFill="1" applyBorder="1" applyAlignment="1">
      <alignment horizontal="right" vertical="center"/>
    </xf>
    <xf numFmtId="165" fontId="38" fillId="7" borderId="0" xfId="0" applyNumberFormat="1" applyFont="1" applyFill="1" applyBorder="1" applyAlignment="1">
      <alignment horizontal="right" vertical="center"/>
    </xf>
    <xf numFmtId="166" fontId="38" fillId="7" borderId="0" xfId="0" applyNumberFormat="1" applyFont="1" applyFill="1" applyBorder="1" applyAlignment="1">
      <alignment horizontal="right" vertical="center"/>
    </xf>
    <xf numFmtId="0" fontId="16" fillId="6" borderId="0" xfId="0" applyFont="1" applyFill="1" applyBorder="1" applyAlignment="1">
      <alignment horizontal="right"/>
    </xf>
    <xf numFmtId="0" fontId="0" fillId="0" borderId="0" xfId="0" applyAlignment="1">
      <alignment horizontal="left" vertical="center" indent="1"/>
    </xf>
    <xf numFmtId="0" fontId="0" fillId="0" borderId="13" xfId="0" applyBorder="1"/>
    <xf numFmtId="0" fontId="32" fillId="12" borderId="14" xfId="0" applyFont="1" applyFill="1" applyBorder="1" applyAlignment="1">
      <alignment horizontal="center" vertical="center"/>
    </xf>
    <xf numFmtId="0" fontId="12" fillId="12" borderId="14" xfId="0" applyFont="1" applyFill="1" applyBorder="1" applyAlignment="1">
      <alignment horizontal="center" vertical="center"/>
    </xf>
    <xf numFmtId="0" fontId="0" fillId="30" borderId="0" xfId="0" applyFill="1" applyAlignment="1">
      <alignment horizontal="left" vertical="top" indent="1"/>
    </xf>
    <xf numFmtId="0" fontId="0" fillId="14" borderId="0" xfId="0" applyFill="1" applyAlignment="1">
      <alignment horizontal="left" vertical="top"/>
    </xf>
    <xf numFmtId="0" fontId="0" fillId="15" borderId="0" xfId="0" applyFill="1" applyAlignment="1">
      <alignment horizontal="left" vertical="top"/>
    </xf>
    <xf numFmtId="0" fontId="0" fillId="31" borderId="0" xfId="0" applyFill="1" applyAlignment="1">
      <alignment horizontal="left" vertical="top"/>
    </xf>
    <xf numFmtId="0" fontId="0" fillId="0" borderId="0" xfId="0" applyAlignment="1">
      <alignment vertical="top"/>
    </xf>
    <xf numFmtId="0" fontId="0" fillId="32" borderId="0" xfId="0" applyFill="1" applyAlignment="1">
      <alignment horizontal="left" vertical="top"/>
    </xf>
    <xf numFmtId="0" fontId="0" fillId="13" borderId="0" xfId="0" applyFill="1" applyAlignment="1">
      <alignment horizontal="left" vertical="top"/>
    </xf>
    <xf numFmtId="0" fontId="0" fillId="34" borderId="0" xfId="0" applyFill="1" applyAlignment="1">
      <alignment horizontal="left" vertical="top"/>
    </xf>
    <xf numFmtId="0" fontId="40" fillId="34" borderId="0" xfId="0" applyFont="1" applyFill="1" applyAlignment="1">
      <alignment horizontal="left" vertical="top"/>
    </xf>
    <xf numFmtId="170" fontId="5" fillId="0" borderId="0" xfId="0" applyNumberFormat="1" applyFont="1" applyBorder="1" applyAlignment="1">
      <alignment horizontal="right" vertical="center"/>
    </xf>
    <xf numFmtId="38" fontId="5" fillId="0" borderId="0" xfId="0" applyNumberFormat="1" applyFont="1" applyFill="1" applyBorder="1" applyAlignment="1">
      <alignment horizontal="right" vertical="center"/>
    </xf>
    <xf numFmtId="170" fontId="24" fillId="14" borderId="5" xfId="0" applyNumberFormat="1" applyFont="1" applyFill="1" applyBorder="1" applyAlignment="1">
      <alignment horizontal="right" vertical="center"/>
    </xf>
    <xf numFmtId="38" fontId="17" fillId="0" borderId="0" xfId="0" applyNumberFormat="1" applyFont="1" applyFill="1" applyBorder="1" applyAlignment="1">
      <alignment horizontal="right"/>
    </xf>
    <xf numFmtId="38" fontId="17" fillId="6" borderId="0" xfId="0" applyNumberFormat="1" applyFont="1" applyFill="1" applyBorder="1" applyAlignment="1">
      <alignment horizontal="right"/>
    </xf>
    <xf numFmtId="0" fontId="24" fillId="0" borderId="0" xfId="0" applyFont="1" applyFill="1" applyBorder="1" applyAlignment="1">
      <alignment horizontal="left" vertical="center"/>
    </xf>
    <xf numFmtId="164" fontId="34" fillId="0" borderId="0" xfId="0" applyNumberFormat="1" applyFont="1" applyFill="1" applyBorder="1" applyAlignment="1">
      <alignment horizontal="right" vertical="center"/>
    </xf>
    <xf numFmtId="2" fontId="13" fillId="0" borderId="0" xfId="0" applyNumberFormat="1" applyFont="1" applyFill="1" applyBorder="1" applyAlignment="1">
      <alignment horizontal="right" vertical="center"/>
    </xf>
    <xf numFmtId="0" fontId="25" fillId="10" borderId="0" xfId="0" applyFont="1" applyFill="1" applyBorder="1" applyAlignment="1">
      <alignment horizontal="center" vertical="center"/>
    </xf>
    <xf numFmtId="0" fontId="11" fillId="23" borderId="6" xfId="0" applyFont="1" applyFill="1" applyBorder="1" applyAlignment="1">
      <alignment horizontal="center" vertical="top" wrapText="1"/>
    </xf>
    <xf numFmtId="0" fontId="11" fillId="23" borderId="4" xfId="0" applyFont="1" applyFill="1" applyBorder="1" applyAlignment="1">
      <alignment horizontal="center" vertical="top" wrapText="1"/>
    </xf>
    <xf numFmtId="0" fontId="11" fillId="23" borderId="7" xfId="0" applyFont="1" applyFill="1" applyBorder="1" applyAlignment="1">
      <alignment horizontal="center" vertical="top" wrapText="1"/>
    </xf>
    <xf numFmtId="0" fontId="11" fillId="23" borderId="8" xfId="0" applyFont="1" applyFill="1" applyBorder="1" applyAlignment="1">
      <alignment horizontal="center" vertical="top" wrapText="1"/>
    </xf>
    <xf numFmtId="0" fontId="11" fillId="23" borderId="0" xfId="0" applyFont="1" applyFill="1" applyBorder="1" applyAlignment="1">
      <alignment horizontal="center" vertical="top" wrapText="1"/>
    </xf>
    <xf numFmtId="0" fontId="11" fillId="23" borderId="9" xfId="0" applyFont="1" applyFill="1" applyBorder="1" applyAlignment="1">
      <alignment horizontal="center" vertical="top" wrapText="1"/>
    </xf>
    <xf numFmtId="0" fontId="11" fillId="23" borderId="10" xfId="0" applyFont="1" applyFill="1" applyBorder="1" applyAlignment="1">
      <alignment horizontal="center" vertical="top" wrapText="1"/>
    </xf>
    <xf numFmtId="0" fontId="11" fillId="23" borderId="11" xfId="0" applyFont="1" applyFill="1" applyBorder="1" applyAlignment="1">
      <alignment horizontal="center" vertical="top" wrapText="1"/>
    </xf>
    <xf numFmtId="0" fontId="11" fillId="23" borderId="12" xfId="0" applyFont="1" applyFill="1" applyBorder="1" applyAlignment="1">
      <alignment horizontal="center" vertical="top" wrapText="1"/>
    </xf>
    <xf numFmtId="0" fontId="11" fillId="18" borderId="1" xfId="0" applyFont="1" applyFill="1" applyBorder="1" applyAlignment="1">
      <alignment horizontal="left" vertical="center" wrapText="1"/>
    </xf>
    <xf numFmtId="0" fontId="25" fillId="17" borderId="0" xfId="0" applyFont="1" applyFill="1" applyBorder="1" applyAlignment="1">
      <alignment horizontal="center" vertical="center"/>
    </xf>
    <xf numFmtId="0" fontId="18" fillId="2" borderId="0" xfId="0" applyFont="1" applyFill="1" applyBorder="1" applyAlignment="1">
      <alignment horizontal="center" vertical="center"/>
    </xf>
    <xf numFmtId="0" fontId="20" fillId="16" borderId="2" xfId="0" applyFont="1" applyFill="1" applyBorder="1" applyAlignment="1">
      <alignment horizontal="center" vertical="center"/>
    </xf>
    <xf numFmtId="0" fontId="32" fillId="25" borderId="3" xfId="0" applyFont="1" applyFill="1" applyBorder="1" applyAlignment="1">
      <alignment horizontal="center" vertical="center"/>
    </xf>
    <xf numFmtId="0" fontId="32" fillId="24" borderId="0" xfId="0" applyFont="1" applyFill="1" applyAlignment="1">
      <alignment horizontal="center" vertical="center"/>
    </xf>
    <xf numFmtId="0" fontId="32" fillId="27" borderId="0" xfId="0" applyFont="1" applyFill="1" applyAlignment="1">
      <alignment horizontal="center" vertical="center"/>
    </xf>
    <xf numFmtId="0" fontId="32" fillId="26" borderId="0" xfId="0" applyFont="1" applyFill="1" applyAlignment="1">
      <alignment horizontal="center" vertical="center"/>
    </xf>
    <xf numFmtId="0" fontId="32" fillId="28" borderId="0" xfId="0" applyFont="1" applyFill="1" applyAlignment="1">
      <alignment horizontal="center" vertical="center"/>
    </xf>
    <xf numFmtId="0" fontId="32" fillId="29" borderId="0" xfId="0" applyFont="1" applyFill="1" applyAlignment="1">
      <alignment horizontal="center" vertical="center"/>
    </xf>
    <xf numFmtId="0" fontId="32" fillId="33" borderId="0" xfId="0" applyFont="1" applyFill="1" applyAlignment="1">
      <alignment horizontal="center" vertical="center"/>
    </xf>
    <xf numFmtId="167" fontId="0" fillId="30" borderId="0" xfId="1" applyNumberFormat="1" applyFont="1" applyFill="1" applyAlignment="1">
      <alignment horizontal="center" vertical="top"/>
    </xf>
    <xf numFmtId="9" fontId="0" fillId="30" borderId="0" xfId="1" applyNumberFormat="1" applyFont="1" applyFill="1" applyAlignment="1">
      <alignment horizontal="center" vertical="top"/>
    </xf>
    <xf numFmtId="43" fontId="0" fillId="30" borderId="0" xfId="2" applyNumberFormat="1" applyFont="1" applyFill="1" applyAlignment="1">
      <alignment horizontal="center" vertical="top"/>
    </xf>
    <xf numFmtId="167" fontId="0" fillId="14" borderId="0" xfId="1" applyNumberFormat="1" applyFont="1" applyFill="1" applyAlignment="1">
      <alignment horizontal="center" vertical="top"/>
    </xf>
    <xf numFmtId="168" fontId="0" fillId="15" borderId="0" xfId="1" applyNumberFormat="1" applyFont="1" applyFill="1" applyAlignment="1">
      <alignment horizontal="center" vertical="top"/>
    </xf>
    <xf numFmtId="168" fontId="0" fillId="15" borderId="0" xfId="0" applyNumberFormat="1" applyFill="1" applyAlignment="1">
      <alignment horizontal="center" vertical="top"/>
    </xf>
    <xf numFmtId="169" fontId="0" fillId="31" borderId="0" xfId="0" applyNumberFormat="1" applyFill="1" applyAlignment="1">
      <alignment horizontal="center" vertical="top"/>
    </xf>
    <xf numFmtId="166" fontId="0" fillId="31" borderId="0" xfId="0" applyNumberFormat="1" applyFill="1" applyAlignment="1">
      <alignment horizontal="center" vertical="top"/>
    </xf>
    <xf numFmtId="168" fontId="0" fillId="32" borderId="0" xfId="0" applyNumberFormat="1" applyFill="1" applyAlignment="1">
      <alignment horizontal="center" vertical="top"/>
    </xf>
    <xf numFmtId="167" fontId="0" fillId="32" borderId="0" xfId="1" applyNumberFormat="1" applyFont="1" applyFill="1" applyAlignment="1">
      <alignment horizontal="center" vertical="top"/>
    </xf>
    <xf numFmtId="166" fontId="0" fillId="32" borderId="0" xfId="0" applyNumberFormat="1" applyFill="1" applyAlignment="1">
      <alignment horizontal="center" vertical="top"/>
    </xf>
    <xf numFmtId="168" fontId="0" fillId="32" borderId="0" xfId="1" applyNumberFormat="1" applyFont="1" applyFill="1" applyAlignment="1">
      <alignment horizontal="center" vertical="top"/>
    </xf>
    <xf numFmtId="166" fontId="0" fillId="13" borderId="0" xfId="1" applyNumberFormat="1" applyFont="1" applyFill="1" applyAlignment="1">
      <alignment horizontal="center" vertical="top"/>
    </xf>
    <xf numFmtId="0" fontId="0" fillId="13" borderId="0" xfId="0" applyFill="1" applyAlignment="1">
      <alignment horizontal="center" vertical="top"/>
    </xf>
    <xf numFmtId="167" fontId="0" fillId="13" borderId="0" xfId="1" applyNumberFormat="1" applyFont="1" applyFill="1" applyAlignment="1">
      <alignment horizontal="center" vertical="top"/>
    </xf>
    <xf numFmtId="167" fontId="0" fillId="34" borderId="0" xfId="1" applyNumberFormat="1" applyFont="1" applyFill="1" applyAlignment="1">
      <alignment horizontal="center" vertical="top"/>
    </xf>
    <xf numFmtId="168" fontId="0" fillId="34" borderId="0" xfId="0" applyNumberFormat="1" applyFill="1" applyAlignment="1">
      <alignment horizontal="center" vertical="top"/>
    </xf>
    <xf numFmtId="168" fontId="0" fillId="34" borderId="0" xfId="1" applyNumberFormat="1" applyFont="1" applyFill="1" applyAlignment="1">
      <alignment horizontal="center" vertical="top"/>
    </xf>
    <xf numFmtId="165" fontId="40" fillId="34" borderId="0" xfId="0" applyNumberFormat="1" applyFont="1" applyFill="1" applyAlignment="1">
      <alignment horizontal="center" vertical="top"/>
    </xf>
  </cellXfs>
  <cellStyles count="3">
    <cellStyle name="Currency" xfId="2" builtinId="4"/>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AE0F0"/>
      <rgbColor rgb="FF808080"/>
      <rgbColor rgb="FF9999FF"/>
      <rgbColor rgb="FF993366"/>
      <rgbColor rgb="FFFFF2CC"/>
      <rgbColor rgb="FFEBF5EB"/>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2EFDA"/>
      <rgbColor rgb="FFCCFFCC"/>
      <rgbColor rgb="FFFFF8E7"/>
      <rgbColor rgb="FF99CCFF"/>
      <rgbColor rgb="FFFF99CC"/>
      <rgbColor rgb="FFCC99FF"/>
      <rgbColor rgb="FFFCE4D6"/>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3"/>
  <sheetViews>
    <sheetView showGridLines="0" topLeftCell="A10" zoomScale="64" zoomScaleNormal="64" workbookViewId="0">
      <selection activeCell="A33" sqref="A33:G33"/>
    </sheetView>
  </sheetViews>
  <sheetFormatPr defaultColWidth="8.6328125" defaultRowHeight="14.5" x14ac:dyDescent="0.35"/>
  <cols>
    <col min="1" max="1" width="42" style="1" customWidth="1"/>
    <col min="2" max="7" width="10.6328125" style="1" customWidth="1"/>
  </cols>
  <sheetData>
    <row r="1" spans="1:15" ht="35" customHeight="1" x14ac:dyDescent="0.35">
      <c r="A1" s="100" t="s">
        <v>0</v>
      </c>
      <c r="B1" s="100"/>
      <c r="C1" s="100"/>
      <c r="D1" s="100"/>
      <c r="E1" s="100"/>
      <c r="F1" s="100"/>
      <c r="G1" s="100"/>
    </row>
    <row r="2" spans="1:15" ht="21.75" customHeight="1" x14ac:dyDescent="0.35">
      <c r="A2" s="38" t="s">
        <v>1</v>
      </c>
      <c r="B2" s="38" t="s">
        <v>78</v>
      </c>
      <c r="C2" s="38" t="s">
        <v>72</v>
      </c>
      <c r="D2" s="38" t="s">
        <v>73</v>
      </c>
      <c r="E2" s="38" t="s">
        <v>74</v>
      </c>
      <c r="F2" s="38" t="s">
        <v>75</v>
      </c>
      <c r="G2" s="38" t="s">
        <v>76</v>
      </c>
    </row>
    <row r="3" spans="1:15" ht="18" customHeight="1" x14ac:dyDescent="0.35">
      <c r="A3" s="39" t="s">
        <v>2</v>
      </c>
      <c r="B3" s="40">
        <v>90791</v>
      </c>
      <c r="C3" s="40">
        <v>100472</v>
      </c>
      <c r="D3" s="40">
        <v>121641</v>
      </c>
      <c r="E3" s="40">
        <v>146767</v>
      </c>
      <c r="F3" s="40">
        <v>153670</v>
      </c>
      <c r="G3" s="40">
        <v>162990</v>
      </c>
    </row>
    <row r="4" spans="1:15" ht="18" customHeight="1" x14ac:dyDescent="0.35">
      <c r="A4" s="7" t="s">
        <v>59</v>
      </c>
      <c r="B4" s="92">
        <v>-60732</v>
      </c>
      <c r="C4" s="92">
        <v>-65413</v>
      </c>
      <c r="D4" s="92">
        <v>-81998</v>
      </c>
      <c r="E4" s="92">
        <v>-102353</v>
      </c>
      <c r="F4" s="92">
        <v>-107413</v>
      </c>
      <c r="G4" s="92">
        <v>-113347</v>
      </c>
    </row>
    <row r="5" spans="1:15" ht="18" customHeight="1" x14ac:dyDescent="0.35">
      <c r="A5" s="41" t="s">
        <v>58</v>
      </c>
      <c r="B5" s="42">
        <f t="shared" ref="B5:F5" si="0">B3+B4</f>
        <v>30059</v>
      </c>
      <c r="C5" s="42">
        <f t="shared" si="0"/>
        <v>35059</v>
      </c>
      <c r="D5" s="42">
        <f t="shared" si="0"/>
        <v>39643</v>
      </c>
      <c r="E5" s="42">
        <f t="shared" si="0"/>
        <v>44414</v>
      </c>
      <c r="F5" s="42">
        <f t="shared" si="0"/>
        <v>46257</v>
      </c>
      <c r="G5" s="42">
        <f>G3+G4</f>
        <v>49643</v>
      </c>
      <c r="I5" s="7"/>
      <c r="J5" s="8"/>
      <c r="K5" s="8"/>
      <c r="L5" s="8"/>
      <c r="M5" s="8"/>
      <c r="N5" s="8"/>
      <c r="O5" s="8"/>
    </row>
    <row r="6" spans="1:15" ht="18" customHeight="1" x14ac:dyDescent="0.35">
      <c r="A6" s="43" t="s">
        <v>62</v>
      </c>
      <c r="B6" s="13"/>
      <c r="C6" s="13"/>
      <c r="D6" s="13"/>
      <c r="E6" s="13"/>
      <c r="F6" s="13"/>
      <c r="G6" s="13"/>
      <c r="I6" s="7"/>
      <c r="J6" s="8"/>
      <c r="K6" s="8"/>
      <c r="L6" s="8"/>
      <c r="M6" s="8"/>
      <c r="N6" s="8"/>
      <c r="O6" s="8"/>
    </row>
    <row r="7" spans="1:15" ht="18" customHeight="1" x14ac:dyDescent="0.35">
      <c r="A7" s="14" t="s">
        <v>3</v>
      </c>
      <c r="B7" s="93">
        <v>-4711</v>
      </c>
      <c r="C7" s="93">
        <v>-4627</v>
      </c>
      <c r="D7" s="93">
        <v>-5156</v>
      </c>
      <c r="E7" s="93">
        <v>-6249</v>
      </c>
      <c r="F7" s="93">
        <v>-6973</v>
      </c>
      <c r="G7" s="93">
        <v>-7588</v>
      </c>
    </row>
    <row r="8" spans="1:15" ht="18" customHeight="1" x14ac:dyDescent="0.35">
      <c r="A8" s="14" t="s">
        <v>4</v>
      </c>
      <c r="B8" s="93">
        <v>-5974</v>
      </c>
      <c r="C8" s="93">
        <v>-5810</v>
      </c>
      <c r="D8" s="93">
        <v>-6472</v>
      </c>
      <c r="E8" s="93">
        <v>-7260</v>
      </c>
      <c r="F8" s="93">
        <v>-7537</v>
      </c>
      <c r="G8" s="93">
        <v>-7631</v>
      </c>
    </row>
    <row r="9" spans="1:15" ht="18" customHeight="1" x14ac:dyDescent="0.35">
      <c r="A9" s="44" t="s">
        <v>60</v>
      </c>
      <c r="B9" s="94">
        <f>SUM(B7:B8)</f>
        <v>-10685</v>
      </c>
      <c r="C9" s="94">
        <f t="shared" ref="C9:G9" si="1">SUM(C7:C8)</f>
        <v>-10437</v>
      </c>
      <c r="D9" s="94">
        <f t="shared" si="1"/>
        <v>-11628</v>
      </c>
      <c r="E9" s="94">
        <f t="shared" si="1"/>
        <v>-13509</v>
      </c>
      <c r="F9" s="94">
        <f t="shared" si="1"/>
        <v>-14510</v>
      </c>
      <c r="G9" s="94">
        <f t="shared" si="1"/>
        <v>-15219</v>
      </c>
    </row>
    <row r="10" spans="1:15" ht="18" customHeight="1" x14ac:dyDescent="0.35">
      <c r="A10" s="45" t="s">
        <v>5</v>
      </c>
      <c r="B10" s="42">
        <f t="shared" ref="B10:G10" si="2">B5+B9</f>
        <v>19374</v>
      </c>
      <c r="C10" s="42">
        <f t="shared" si="2"/>
        <v>24622</v>
      </c>
      <c r="D10" s="42">
        <f t="shared" si="2"/>
        <v>28015</v>
      </c>
      <c r="E10" s="42">
        <f t="shared" si="2"/>
        <v>30905</v>
      </c>
      <c r="F10" s="42">
        <f t="shared" si="2"/>
        <v>31747</v>
      </c>
      <c r="G10" s="42">
        <f t="shared" si="2"/>
        <v>34424</v>
      </c>
      <c r="I10" s="13"/>
      <c r="J10" s="13"/>
      <c r="K10" s="13"/>
      <c r="L10" s="13"/>
      <c r="M10" s="13"/>
    </row>
    <row r="11" spans="1:15" ht="18" customHeight="1" x14ac:dyDescent="0.35">
      <c r="A11" s="15" t="s">
        <v>61</v>
      </c>
      <c r="B11" s="29">
        <v>2893</v>
      </c>
      <c r="C11" s="29">
        <v>3267</v>
      </c>
      <c r="D11" s="29">
        <v>3476</v>
      </c>
      <c r="E11" s="29">
        <v>4225</v>
      </c>
      <c r="F11" s="29">
        <v>4678</v>
      </c>
      <c r="G11" s="29">
        <v>4812</v>
      </c>
      <c r="I11" s="13"/>
      <c r="J11" s="13"/>
      <c r="K11" s="13"/>
      <c r="L11" s="13"/>
      <c r="M11" s="13"/>
    </row>
    <row r="12" spans="1:15" ht="18" customHeight="1" x14ac:dyDescent="0.35">
      <c r="A12" s="45" t="s">
        <v>66</v>
      </c>
      <c r="B12" s="42">
        <f t="shared" ref="B12:G12" si="3">B10+B11</f>
        <v>22267</v>
      </c>
      <c r="C12" s="42">
        <f t="shared" si="3"/>
        <v>27889</v>
      </c>
      <c r="D12" s="42">
        <f t="shared" si="3"/>
        <v>31491</v>
      </c>
      <c r="E12" s="42">
        <f t="shared" si="3"/>
        <v>35130</v>
      </c>
      <c r="F12" s="42">
        <f t="shared" si="3"/>
        <v>36425</v>
      </c>
      <c r="G12" s="42">
        <f t="shared" si="3"/>
        <v>39236</v>
      </c>
      <c r="I12" s="13"/>
      <c r="J12" s="13"/>
      <c r="K12" s="13"/>
      <c r="L12" s="13"/>
      <c r="M12" s="13"/>
    </row>
    <row r="13" spans="1:15" ht="18" customHeight="1" x14ac:dyDescent="0.35">
      <c r="A13" s="14" t="s">
        <v>65</v>
      </c>
      <c r="B13" s="28">
        <v>2803</v>
      </c>
      <c r="C13" s="28">
        <v>2201</v>
      </c>
      <c r="D13" s="28">
        <v>2295</v>
      </c>
      <c r="E13" s="28">
        <v>2701</v>
      </c>
      <c r="F13" s="28">
        <v>4711</v>
      </c>
      <c r="G13" s="28">
        <v>3600</v>
      </c>
    </row>
    <row r="14" spans="1:15" ht="18" customHeight="1" x14ac:dyDescent="0.35">
      <c r="A14" s="14" t="s">
        <v>6</v>
      </c>
      <c r="B14" s="93">
        <v>-170</v>
      </c>
      <c r="C14" s="93">
        <v>-195</v>
      </c>
      <c r="D14" s="93">
        <v>-200</v>
      </c>
      <c r="E14" s="93">
        <v>-284</v>
      </c>
      <c r="F14" s="93">
        <v>-470</v>
      </c>
      <c r="G14" s="93">
        <v>-416</v>
      </c>
    </row>
    <row r="15" spans="1:15" ht="18" customHeight="1" x14ac:dyDescent="0.35">
      <c r="A15" s="45" t="s">
        <v>7</v>
      </c>
      <c r="B15" s="42">
        <f t="shared" ref="B15:G15" si="4">B10+B13+B14</f>
        <v>22007</v>
      </c>
      <c r="C15" s="42">
        <f t="shared" si="4"/>
        <v>26628</v>
      </c>
      <c r="D15" s="42">
        <f t="shared" si="4"/>
        <v>30110</v>
      </c>
      <c r="E15" s="42">
        <f t="shared" si="4"/>
        <v>33322</v>
      </c>
      <c r="F15" s="42">
        <f t="shared" si="4"/>
        <v>35988</v>
      </c>
      <c r="G15" s="42">
        <f t="shared" si="4"/>
        <v>37608</v>
      </c>
      <c r="I15" s="16"/>
      <c r="J15" s="16"/>
      <c r="K15" s="16"/>
      <c r="L15" s="16"/>
      <c r="M15" s="16"/>
    </row>
    <row r="16" spans="1:15" ht="18" customHeight="1" x14ac:dyDescent="0.35">
      <c r="A16" s="14" t="s">
        <v>8</v>
      </c>
      <c r="B16" s="28">
        <v>5368</v>
      </c>
      <c r="C16" s="28">
        <v>7205</v>
      </c>
      <c r="D16" s="28">
        <v>7964</v>
      </c>
      <c r="E16" s="28">
        <v>9214</v>
      </c>
      <c r="F16" s="28">
        <v>9740</v>
      </c>
      <c r="G16" s="28">
        <v>10858</v>
      </c>
    </row>
    <row r="17" spans="1:13" ht="18" customHeight="1" x14ac:dyDescent="0.35">
      <c r="A17" s="45" t="s">
        <v>71</v>
      </c>
      <c r="B17" s="42">
        <f t="shared" ref="B17:G17" si="5">B15-B16</f>
        <v>16639</v>
      </c>
      <c r="C17" s="42">
        <f t="shared" si="5"/>
        <v>19423</v>
      </c>
      <c r="D17" s="42">
        <f t="shared" si="5"/>
        <v>22146</v>
      </c>
      <c r="E17" s="42">
        <f t="shared" si="5"/>
        <v>24108</v>
      </c>
      <c r="F17" s="42">
        <f t="shared" si="5"/>
        <v>26248</v>
      </c>
      <c r="G17" s="42">
        <f t="shared" si="5"/>
        <v>26750</v>
      </c>
      <c r="H17" s="17"/>
      <c r="I17" s="16"/>
      <c r="J17" s="16"/>
      <c r="K17" s="16"/>
      <c r="L17" s="16"/>
      <c r="M17" s="16"/>
    </row>
    <row r="18" spans="1:13" s="10" customFormat="1" ht="18" customHeight="1" x14ac:dyDescent="0.35">
      <c r="A18" s="24" t="s">
        <v>82</v>
      </c>
      <c r="B18" s="99">
        <v>38.97</v>
      </c>
      <c r="C18" s="99">
        <v>45.61</v>
      </c>
      <c r="D18" s="99">
        <v>52.52</v>
      </c>
      <c r="E18" s="99">
        <v>57.63</v>
      </c>
      <c r="F18" s="99">
        <v>63.39</v>
      </c>
      <c r="G18" s="99">
        <v>64.5</v>
      </c>
      <c r="H18" s="22"/>
      <c r="I18" s="23"/>
      <c r="J18" s="23"/>
      <c r="K18" s="23"/>
      <c r="L18" s="23"/>
      <c r="M18" s="23"/>
    </row>
    <row r="19" spans="1:13" ht="6" customHeight="1" x14ac:dyDescent="0.35">
      <c r="A19" s="11"/>
      <c r="B19" s="11"/>
      <c r="C19" s="11"/>
      <c r="D19" s="11"/>
      <c r="E19" s="11"/>
      <c r="F19" s="11"/>
      <c r="G19" s="11"/>
    </row>
    <row r="20" spans="1:13" ht="18" customHeight="1" x14ac:dyDescent="0.35">
      <c r="A20" s="46" t="s">
        <v>63</v>
      </c>
      <c r="B20" s="21"/>
      <c r="C20" s="21"/>
      <c r="D20" s="21"/>
      <c r="E20" s="21"/>
      <c r="F20" s="21"/>
      <c r="G20" s="21"/>
    </row>
    <row r="21" spans="1:13" ht="18" customHeight="1" x14ac:dyDescent="0.35">
      <c r="A21" s="47" t="s">
        <v>57</v>
      </c>
      <c r="B21" s="48">
        <f t="shared" ref="B21:G21" si="6">B5/B3</f>
        <v>0.33107907171415668</v>
      </c>
      <c r="C21" s="48">
        <f t="shared" si="6"/>
        <v>0.34894298909148819</v>
      </c>
      <c r="D21" s="48">
        <f t="shared" si="6"/>
        <v>0.32590162856273791</v>
      </c>
      <c r="E21" s="48">
        <f t="shared" si="6"/>
        <v>0.30261571061614667</v>
      </c>
      <c r="F21" s="48">
        <f t="shared" si="6"/>
        <v>0.30101516236090325</v>
      </c>
      <c r="G21" s="48">
        <f t="shared" si="6"/>
        <v>0.30457696791214184</v>
      </c>
    </row>
    <row r="22" spans="1:13" ht="18" customHeight="1" x14ac:dyDescent="0.35">
      <c r="A22" s="49" t="s">
        <v>9</v>
      </c>
      <c r="B22" s="50">
        <f t="shared" ref="B22:G22" si="7">B12/B3</f>
        <v>0.24525558700752279</v>
      </c>
      <c r="C22" s="50">
        <f t="shared" si="7"/>
        <v>0.27757982323433394</v>
      </c>
      <c r="D22" s="50">
        <f t="shared" si="7"/>
        <v>0.25888475102966929</v>
      </c>
      <c r="E22" s="50">
        <f t="shared" si="7"/>
        <v>0.23935898396778568</v>
      </c>
      <c r="F22" s="50">
        <f t="shared" si="7"/>
        <v>0.23703390381987374</v>
      </c>
      <c r="G22" s="50">
        <f t="shared" si="7"/>
        <v>0.24072642493404503</v>
      </c>
      <c r="I22" s="2"/>
    </row>
    <row r="23" spans="1:13" ht="18" customHeight="1" x14ac:dyDescent="0.35">
      <c r="A23" s="49" t="s">
        <v>10</v>
      </c>
      <c r="B23" s="50">
        <f t="shared" ref="B23:G23" si="8">B10/B3</f>
        <v>0.21339119516251612</v>
      </c>
      <c r="C23" s="50">
        <f t="shared" si="8"/>
        <v>0.24506330121824987</v>
      </c>
      <c r="D23" s="50">
        <f t="shared" si="8"/>
        <v>0.23030885967724699</v>
      </c>
      <c r="E23" s="50">
        <f t="shared" si="8"/>
        <v>0.21057185879659596</v>
      </c>
      <c r="F23" s="50">
        <f t="shared" si="8"/>
        <v>0.20659204789483959</v>
      </c>
      <c r="G23" s="50">
        <f t="shared" si="8"/>
        <v>0.21120314129701209</v>
      </c>
    </row>
    <row r="24" spans="1:13" ht="18" customHeight="1" x14ac:dyDescent="0.35">
      <c r="A24" s="49" t="s">
        <v>11</v>
      </c>
      <c r="B24" s="50">
        <f t="shared" ref="B24:G24" si="9">B17/B3</f>
        <v>0.18326706391602693</v>
      </c>
      <c r="C24" s="50">
        <f t="shared" si="9"/>
        <v>0.19331754120550998</v>
      </c>
      <c r="D24" s="50">
        <f t="shared" si="9"/>
        <v>0.1820603250548746</v>
      </c>
      <c r="E24" s="50">
        <f t="shared" si="9"/>
        <v>0.16426035825492105</v>
      </c>
      <c r="F24" s="50">
        <f t="shared" si="9"/>
        <v>0.17080757467300059</v>
      </c>
      <c r="G24" s="50">
        <f t="shared" si="9"/>
        <v>0.16412049819007302</v>
      </c>
    </row>
    <row r="25" spans="1:13" ht="18" customHeight="1" x14ac:dyDescent="0.35">
      <c r="A25" s="51" t="s">
        <v>68</v>
      </c>
      <c r="B25" s="50">
        <f t="shared" ref="B25:G25" si="10">IFERROR((B3-A3)/A3, )</f>
        <v>0</v>
      </c>
      <c r="C25" s="50">
        <f t="shared" si="10"/>
        <v>0.10662951173574474</v>
      </c>
      <c r="D25" s="50">
        <f t="shared" si="10"/>
        <v>0.21069551715900947</v>
      </c>
      <c r="E25" s="50">
        <f t="shared" si="10"/>
        <v>0.20655864387829762</v>
      </c>
      <c r="F25" s="50">
        <f t="shared" si="10"/>
        <v>4.7033733741236108E-2</v>
      </c>
      <c r="G25" s="50">
        <f t="shared" si="10"/>
        <v>6.064944361293681E-2</v>
      </c>
    </row>
    <row r="26" spans="1:13" ht="18" customHeight="1" x14ac:dyDescent="0.35">
      <c r="A26" s="49" t="s">
        <v>64</v>
      </c>
      <c r="B26" s="50">
        <f>B16/B15</f>
        <v>0.24392238833098559</v>
      </c>
      <c r="C26" s="50">
        <f t="shared" ref="C26:G26" si="11">C16/C15</f>
        <v>0.27057984076911523</v>
      </c>
      <c r="D26" s="50">
        <f t="shared" si="11"/>
        <v>0.26449684490202591</v>
      </c>
      <c r="E26" s="50">
        <f t="shared" si="11"/>
        <v>0.27651401476502013</v>
      </c>
      <c r="F26" s="50">
        <f t="shared" si="11"/>
        <v>0.27064577081249308</v>
      </c>
      <c r="G26" s="50">
        <f t="shared" si="11"/>
        <v>0.28871516698574773</v>
      </c>
    </row>
    <row r="27" spans="1:13" ht="4.5" customHeight="1" x14ac:dyDescent="0.35">
      <c r="A27" s="18"/>
      <c r="B27" s="19"/>
      <c r="C27" s="19"/>
      <c r="D27" s="19"/>
      <c r="E27" s="19"/>
      <c r="F27" s="19"/>
      <c r="G27" s="19"/>
    </row>
    <row r="28" spans="1:13" ht="14.5" customHeight="1" x14ac:dyDescent="0.35">
      <c r="A28" s="101" t="s">
        <v>69</v>
      </c>
      <c r="B28" s="102"/>
      <c r="C28" s="102"/>
      <c r="D28" s="102"/>
      <c r="E28" s="102"/>
      <c r="F28" s="102"/>
      <c r="G28" s="103"/>
    </row>
    <row r="29" spans="1:13" x14ac:dyDescent="0.35">
      <c r="A29" s="104"/>
      <c r="B29" s="105"/>
      <c r="C29" s="105"/>
      <c r="D29" s="105"/>
      <c r="E29" s="105"/>
      <c r="F29" s="105"/>
      <c r="G29" s="106"/>
    </row>
    <row r="30" spans="1:13" x14ac:dyDescent="0.35">
      <c r="A30" s="104"/>
      <c r="B30" s="105"/>
      <c r="C30" s="105"/>
      <c r="D30" s="105"/>
      <c r="E30" s="105"/>
      <c r="F30" s="105"/>
      <c r="G30" s="106"/>
    </row>
    <row r="31" spans="1:13" x14ac:dyDescent="0.35">
      <c r="A31" s="107"/>
      <c r="B31" s="108"/>
      <c r="C31" s="108"/>
      <c r="D31" s="108"/>
      <c r="E31" s="108"/>
      <c r="F31" s="108"/>
      <c r="G31" s="109"/>
    </row>
    <row r="32" spans="1:13" ht="4.5" customHeight="1" x14ac:dyDescent="0.35"/>
    <row r="33" spans="1:7" x14ac:dyDescent="0.35">
      <c r="A33" s="110" t="s">
        <v>70</v>
      </c>
      <c r="B33" s="110"/>
      <c r="C33" s="110"/>
      <c r="D33" s="110"/>
      <c r="E33" s="110"/>
      <c r="F33" s="110"/>
      <c r="G33" s="110"/>
    </row>
  </sheetData>
  <mergeCells count="3">
    <mergeCell ref="A1:G1"/>
    <mergeCell ref="A28:G31"/>
    <mergeCell ref="A33:G33"/>
  </mergeCells>
  <pageMargins left="0.75" right="0.75" top="1" bottom="1" header="0.511811023622047" footer="0.511811023622047"/>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Views>
    <sheetView showGridLines="0" topLeftCell="A10" zoomScale="62" zoomScaleNormal="85" workbookViewId="0">
      <selection activeCell="D48" sqref="D48"/>
    </sheetView>
  </sheetViews>
  <sheetFormatPr defaultColWidth="8.6328125" defaultRowHeight="14.5" x14ac:dyDescent="0.35"/>
  <cols>
    <col min="1" max="1" width="40.6328125" customWidth="1"/>
    <col min="2" max="7" width="10.6328125" customWidth="1"/>
  </cols>
  <sheetData>
    <row r="1" spans="1:8" ht="35" customHeight="1" x14ac:dyDescent="0.35">
      <c r="A1" s="111" t="s">
        <v>12</v>
      </c>
      <c r="B1" s="111"/>
      <c r="C1" s="111"/>
      <c r="D1" s="111"/>
      <c r="E1" s="111"/>
      <c r="F1" s="111"/>
      <c r="G1" s="111"/>
      <c r="H1" s="10"/>
    </row>
    <row r="2" spans="1:8" ht="21.75" customHeight="1" x14ac:dyDescent="0.35">
      <c r="A2" s="52" t="s">
        <v>1</v>
      </c>
      <c r="B2" s="53" t="s">
        <v>78</v>
      </c>
      <c r="C2" s="53" t="s">
        <v>72</v>
      </c>
      <c r="D2" s="53" t="s">
        <v>73</v>
      </c>
      <c r="E2" s="53" t="s">
        <v>74</v>
      </c>
      <c r="F2" s="53" t="s">
        <v>75</v>
      </c>
      <c r="G2" s="53" t="s">
        <v>76</v>
      </c>
    </row>
    <row r="3" spans="1:8" s="10" customFormat="1" ht="18" customHeight="1" x14ac:dyDescent="0.35">
      <c r="A3" s="54" t="s">
        <v>67</v>
      </c>
      <c r="B3" s="55"/>
      <c r="C3" s="55"/>
      <c r="D3" s="55"/>
      <c r="E3" s="55"/>
      <c r="F3" s="55"/>
      <c r="G3" s="55"/>
    </row>
    <row r="4" spans="1:8" ht="18" customHeight="1" x14ac:dyDescent="0.35">
      <c r="A4" s="56" t="s">
        <v>13</v>
      </c>
      <c r="B4" s="56"/>
      <c r="C4" s="56"/>
      <c r="D4" s="56"/>
      <c r="E4" s="56"/>
      <c r="F4" s="56"/>
      <c r="G4" s="56"/>
    </row>
    <row r="5" spans="1:8" ht="18" customHeight="1" x14ac:dyDescent="0.35">
      <c r="A5" s="3" t="s">
        <v>51</v>
      </c>
      <c r="B5" s="26">
        <v>17557</v>
      </c>
      <c r="C5" s="26">
        <v>18276</v>
      </c>
      <c r="D5" s="26">
        <v>18314</v>
      </c>
      <c r="E5" s="26">
        <v>20516</v>
      </c>
      <c r="F5" s="25">
        <v>19215</v>
      </c>
      <c r="G5" s="25">
        <v>18903</v>
      </c>
    </row>
    <row r="6" spans="1:8" ht="18" customHeight="1" x14ac:dyDescent="0.35">
      <c r="A6" s="3" t="s">
        <v>81</v>
      </c>
      <c r="B6" s="26">
        <v>7186</v>
      </c>
      <c r="C6" s="26">
        <v>8151</v>
      </c>
      <c r="D6" s="26">
        <v>7902</v>
      </c>
      <c r="E6" s="26">
        <v>8997</v>
      </c>
      <c r="F6" s="25">
        <v>8700</v>
      </c>
      <c r="G6" s="25">
        <v>12872</v>
      </c>
    </row>
    <row r="7" spans="1:8" ht="18" customHeight="1" x14ac:dyDescent="0.35">
      <c r="A7" s="3" t="s">
        <v>52</v>
      </c>
      <c r="B7" s="26">
        <v>4137</v>
      </c>
      <c r="C7" s="26">
        <v>11863</v>
      </c>
      <c r="D7" s="26">
        <v>13651</v>
      </c>
      <c r="E7" s="26">
        <v>12569</v>
      </c>
      <c r="F7" s="25">
        <v>11708</v>
      </c>
      <c r="G7" s="25">
        <v>11059</v>
      </c>
    </row>
    <row r="8" spans="1:8" ht="18" customHeight="1" x14ac:dyDescent="0.35">
      <c r="A8" s="3" t="s">
        <v>79</v>
      </c>
      <c r="B8" s="26">
        <v>9312</v>
      </c>
      <c r="C8" s="25">
        <v>9363</v>
      </c>
      <c r="D8" s="25">
        <v>10833</v>
      </c>
      <c r="E8" s="25">
        <v>12853</v>
      </c>
      <c r="F8" s="25">
        <v>8759</v>
      </c>
      <c r="G8" s="25">
        <v>8970</v>
      </c>
    </row>
    <row r="9" spans="1:8" ht="18" customHeight="1" x14ac:dyDescent="0.35">
      <c r="A9" s="57" t="s">
        <v>14</v>
      </c>
      <c r="B9" s="58">
        <f>SUM(B5:B8)</f>
        <v>38192</v>
      </c>
      <c r="C9" s="58">
        <f>SUM(C5:C8)</f>
        <v>47653</v>
      </c>
      <c r="D9" s="58">
        <f t="shared" ref="D9:G9" si="0">SUM(D5:D8)</f>
        <v>50700</v>
      </c>
      <c r="E9" s="58">
        <f t="shared" si="0"/>
        <v>54935</v>
      </c>
      <c r="F9" s="58">
        <f t="shared" si="0"/>
        <v>48382</v>
      </c>
      <c r="G9" s="58">
        <f t="shared" si="0"/>
        <v>51804</v>
      </c>
    </row>
    <row r="10" spans="1:8" ht="5" customHeight="1" x14ac:dyDescent="0.35">
      <c r="A10" s="5"/>
      <c r="B10" s="5"/>
      <c r="C10" s="5"/>
      <c r="D10" s="5"/>
      <c r="E10" s="5"/>
      <c r="F10" s="5"/>
      <c r="G10" s="5"/>
    </row>
    <row r="11" spans="1:8" ht="18" customHeight="1" x14ac:dyDescent="0.35">
      <c r="A11" s="56" t="s">
        <v>15</v>
      </c>
      <c r="B11" s="56"/>
      <c r="C11" s="12"/>
      <c r="D11" s="12"/>
      <c r="E11" s="12"/>
      <c r="F11" s="12"/>
      <c r="G11" s="12"/>
    </row>
    <row r="12" spans="1:8" ht="18" customHeight="1" x14ac:dyDescent="0.35">
      <c r="A12" s="6" t="s">
        <v>53</v>
      </c>
      <c r="B12" s="27">
        <v>4655</v>
      </c>
      <c r="C12" s="8">
        <v>2342</v>
      </c>
      <c r="D12" s="8">
        <v>6673</v>
      </c>
      <c r="E12" s="8">
        <v>6909</v>
      </c>
      <c r="F12" s="8">
        <v>12915</v>
      </c>
      <c r="G12" s="8">
        <v>12482</v>
      </c>
    </row>
    <row r="13" spans="1:8" ht="18" customHeight="1" x14ac:dyDescent="0.35">
      <c r="A13" s="6" t="s">
        <v>54</v>
      </c>
      <c r="B13" s="27">
        <v>18487</v>
      </c>
      <c r="C13" s="8">
        <v>19294</v>
      </c>
      <c r="D13" s="8">
        <v>22698</v>
      </c>
      <c r="E13" s="8">
        <v>25424</v>
      </c>
      <c r="F13" s="8">
        <v>30193</v>
      </c>
      <c r="G13" s="8">
        <v>31158</v>
      </c>
    </row>
    <row r="14" spans="1:8" ht="18" customHeight="1" x14ac:dyDescent="0.35">
      <c r="A14" s="6" t="s">
        <v>55</v>
      </c>
      <c r="B14" s="27">
        <v>18649</v>
      </c>
      <c r="C14" s="8">
        <v>24714</v>
      </c>
      <c r="D14" s="8">
        <v>17472</v>
      </c>
      <c r="E14" s="8">
        <v>12173</v>
      </c>
      <c r="F14" s="8">
        <v>14786</v>
      </c>
      <c r="G14" s="8">
        <v>24455</v>
      </c>
    </row>
    <row r="15" spans="1:8" ht="18" customHeight="1" x14ac:dyDescent="0.35">
      <c r="A15" s="6" t="s">
        <v>16</v>
      </c>
      <c r="B15" s="27">
        <v>12785</v>
      </c>
      <c r="C15" s="28">
        <v>14383</v>
      </c>
      <c r="D15" s="28">
        <v>20342</v>
      </c>
      <c r="E15" s="28">
        <v>26375</v>
      </c>
      <c r="F15" s="28">
        <v>31538</v>
      </c>
      <c r="G15" s="28">
        <v>29004</v>
      </c>
    </row>
    <row r="16" spans="1:8" ht="18" customHeight="1" x14ac:dyDescent="0.35">
      <c r="A16" s="57" t="s">
        <v>17</v>
      </c>
      <c r="B16" s="58">
        <f>SUM(B12:B15)</f>
        <v>54576</v>
      </c>
      <c r="C16" s="58">
        <f>SUM(C12:C15)</f>
        <v>60733</v>
      </c>
      <c r="D16" s="58">
        <f t="shared" ref="D16:G16" si="1">SUM(D12:D15)</f>
        <v>67185</v>
      </c>
      <c r="E16" s="58">
        <f t="shared" si="1"/>
        <v>70881</v>
      </c>
      <c r="F16" s="58">
        <f t="shared" si="1"/>
        <v>89432</v>
      </c>
      <c r="G16" s="58">
        <f t="shared" si="1"/>
        <v>97099</v>
      </c>
    </row>
    <row r="17" spans="1:7" ht="5" customHeight="1" x14ac:dyDescent="0.35">
      <c r="A17" s="59"/>
      <c r="B17" s="59"/>
      <c r="C17" s="59"/>
      <c r="D17" s="59"/>
      <c r="E17" s="59"/>
      <c r="F17" s="59"/>
      <c r="G17" s="59"/>
    </row>
    <row r="18" spans="1:7" ht="18" customHeight="1" x14ac:dyDescent="0.35">
      <c r="A18" s="57" t="s">
        <v>18</v>
      </c>
      <c r="B18" s="60">
        <f>SUM(B9+B16)</f>
        <v>92768</v>
      </c>
      <c r="C18" s="60">
        <f>SUM(C9+C16)</f>
        <v>108386</v>
      </c>
      <c r="D18" s="60">
        <f t="shared" ref="D18:G18" si="2">SUM(D9+D16)</f>
        <v>117885</v>
      </c>
      <c r="E18" s="60">
        <f t="shared" si="2"/>
        <v>125816</v>
      </c>
      <c r="F18" s="60">
        <f t="shared" si="2"/>
        <v>137814</v>
      </c>
      <c r="G18" s="60">
        <f t="shared" si="2"/>
        <v>148903</v>
      </c>
    </row>
    <row r="19" spans="1:7" ht="5" customHeight="1" x14ac:dyDescent="0.35">
      <c r="A19" s="5"/>
      <c r="B19" s="5"/>
      <c r="C19" s="5"/>
      <c r="D19" s="5"/>
      <c r="E19" s="5"/>
      <c r="F19" s="5"/>
      <c r="G19" s="5"/>
    </row>
    <row r="20" spans="1:7" ht="18" customHeight="1" x14ac:dyDescent="0.35">
      <c r="A20" s="61" t="s">
        <v>149</v>
      </c>
      <c r="B20" s="20"/>
      <c r="C20" s="20"/>
      <c r="D20" s="20"/>
      <c r="E20" s="20"/>
      <c r="F20" s="20"/>
      <c r="G20" s="20"/>
    </row>
    <row r="21" spans="1:7" ht="18" customHeight="1" x14ac:dyDescent="0.35">
      <c r="A21" s="62" t="s">
        <v>19</v>
      </c>
      <c r="B21" s="12"/>
      <c r="C21" s="12"/>
      <c r="D21" s="12"/>
      <c r="E21" s="12"/>
      <c r="F21" s="12"/>
      <c r="G21" s="12"/>
    </row>
    <row r="22" spans="1:7" ht="18" customHeight="1" x14ac:dyDescent="0.35">
      <c r="A22" s="7" t="s">
        <v>20</v>
      </c>
      <c r="B22" s="8">
        <v>2122</v>
      </c>
      <c r="C22" s="8">
        <v>2124</v>
      </c>
      <c r="D22" s="8">
        <v>2098</v>
      </c>
      <c r="E22" s="8">
        <v>2069</v>
      </c>
      <c r="F22" s="8">
        <v>2071</v>
      </c>
      <c r="G22" s="8">
        <v>2073</v>
      </c>
    </row>
    <row r="23" spans="1:7" ht="18" customHeight="1" x14ac:dyDescent="0.35">
      <c r="A23" s="7" t="s">
        <v>21</v>
      </c>
      <c r="B23" s="8">
        <v>63328</v>
      </c>
      <c r="C23" s="8">
        <v>74227</v>
      </c>
      <c r="D23" s="8">
        <v>73252</v>
      </c>
      <c r="E23" s="8">
        <v>73338</v>
      </c>
      <c r="F23" s="8">
        <v>86045</v>
      </c>
      <c r="G23" s="8">
        <v>93745</v>
      </c>
    </row>
    <row r="24" spans="1:7" ht="18" customHeight="1" x14ac:dyDescent="0.35">
      <c r="A24" s="57" t="s">
        <v>83</v>
      </c>
      <c r="B24" s="63">
        <f t="shared" ref="B24:C24" si="3">B22+B23</f>
        <v>65450</v>
      </c>
      <c r="C24" s="63">
        <f t="shared" si="3"/>
        <v>76351</v>
      </c>
      <c r="D24" s="63">
        <f>D22+D23</f>
        <v>75350</v>
      </c>
      <c r="E24" s="63">
        <f>E22+E23</f>
        <v>75407</v>
      </c>
      <c r="F24" s="63">
        <f>F22+F23</f>
        <v>88116</v>
      </c>
      <c r="G24" s="63">
        <f>G22+G23</f>
        <v>95818</v>
      </c>
    </row>
    <row r="25" spans="1:7" ht="18" customHeight="1" x14ac:dyDescent="0.35">
      <c r="A25" s="7" t="s">
        <v>22</v>
      </c>
      <c r="B25" s="8">
        <v>394</v>
      </c>
      <c r="C25" s="8">
        <v>431</v>
      </c>
      <c r="D25" s="8">
        <v>386</v>
      </c>
      <c r="E25" s="8">
        <v>388</v>
      </c>
      <c r="F25" s="8">
        <v>345</v>
      </c>
      <c r="G25" s="8">
        <v>385</v>
      </c>
    </row>
    <row r="26" spans="1:7" ht="18" customHeight="1" x14ac:dyDescent="0.35">
      <c r="A26" s="57" t="s">
        <v>23</v>
      </c>
      <c r="B26" s="63">
        <f t="shared" ref="B26:G26" si="4">B24+B25</f>
        <v>65844</v>
      </c>
      <c r="C26" s="63">
        <f t="shared" si="4"/>
        <v>76782</v>
      </c>
      <c r="D26" s="63">
        <f t="shared" si="4"/>
        <v>75736</v>
      </c>
      <c r="E26" s="63">
        <f t="shared" si="4"/>
        <v>75795</v>
      </c>
      <c r="F26" s="63">
        <f t="shared" si="4"/>
        <v>88461</v>
      </c>
      <c r="G26" s="63">
        <f t="shared" si="4"/>
        <v>96203</v>
      </c>
    </row>
    <row r="27" spans="1:7" s="10" customFormat="1" ht="6" customHeight="1" x14ac:dyDescent="0.35">
      <c r="A27" s="97"/>
      <c r="B27" s="98"/>
      <c r="C27" s="98"/>
      <c r="D27" s="98"/>
      <c r="E27" s="98"/>
      <c r="F27" s="98"/>
      <c r="G27" s="98"/>
    </row>
    <row r="28" spans="1:7" ht="18" customHeight="1" x14ac:dyDescent="0.35">
      <c r="A28" s="61" t="s">
        <v>148</v>
      </c>
      <c r="B28" s="20"/>
      <c r="C28" s="20"/>
      <c r="D28" s="20"/>
      <c r="E28" s="20"/>
      <c r="F28" s="20"/>
      <c r="G28" s="20"/>
    </row>
    <row r="29" spans="1:7" ht="21" customHeight="1" x14ac:dyDescent="0.35">
      <c r="A29" s="56" t="s">
        <v>24</v>
      </c>
      <c r="B29" s="12"/>
      <c r="C29" s="12"/>
      <c r="D29" s="12"/>
      <c r="E29" s="12"/>
      <c r="F29" s="12"/>
      <c r="G29" s="12"/>
    </row>
    <row r="30" spans="1:7" ht="20" customHeight="1" x14ac:dyDescent="0.35">
      <c r="A30" s="9" t="s">
        <v>80</v>
      </c>
      <c r="B30" s="27">
        <v>4014</v>
      </c>
      <c r="C30" s="27">
        <v>4587</v>
      </c>
      <c r="D30" s="27">
        <v>4602</v>
      </c>
      <c r="E30" s="27">
        <v>7057</v>
      </c>
      <c r="F30" s="27">
        <v>6400</v>
      </c>
      <c r="G30" s="27">
        <v>5772</v>
      </c>
    </row>
    <row r="31" spans="1:7" ht="20" customHeight="1" x14ac:dyDescent="0.35">
      <c r="A31" s="9" t="s">
        <v>56</v>
      </c>
      <c r="B31" s="27">
        <v>2054</v>
      </c>
      <c r="C31" s="27">
        <v>3152</v>
      </c>
      <c r="D31" s="27">
        <v>3944</v>
      </c>
      <c r="E31" s="27">
        <v>3778</v>
      </c>
      <c r="F31" s="27">
        <v>4159</v>
      </c>
      <c r="G31" s="27">
        <v>4078</v>
      </c>
    </row>
    <row r="32" spans="1:7" ht="18" customHeight="1" x14ac:dyDescent="0.35">
      <c r="A32" s="57" t="s">
        <v>25</v>
      </c>
      <c r="B32" s="58">
        <f>SUM(B30:B31)</f>
        <v>6068</v>
      </c>
      <c r="C32" s="58">
        <f>SUM(C30:C31)</f>
        <v>7739</v>
      </c>
      <c r="D32" s="58">
        <f t="shared" ref="D32:G32" si="5">SUM(D30:D31)</f>
        <v>8546</v>
      </c>
      <c r="E32" s="58">
        <f t="shared" si="5"/>
        <v>10835</v>
      </c>
      <c r="F32" s="58">
        <f t="shared" si="5"/>
        <v>10559</v>
      </c>
      <c r="G32" s="58">
        <f t="shared" si="5"/>
        <v>9850</v>
      </c>
    </row>
    <row r="33" spans="1:8" ht="5" customHeight="1" x14ac:dyDescent="0.35">
      <c r="A33" s="4"/>
      <c r="B33" s="4"/>
      <c r="C33" s="4"/>
      <c r="D33" s="4"/>
      <c r="E33" s="4"/>
      <c r="F33" s="4"/>
      <c r="G33" s="4"/>
    </row>
    <row r="34" spans="1:8" ht="18" customHeight="1" x14ac:dyDescent="0.35">
      <c r="A34" s="56" t="s">
        <v>26</v>
      </c>
      <c r="B34" s="12"/>
      <c r="C34" s="12"/>
      <c r="D34" s="12"/>
      <c r="E34" s="12"/>
      <c r="F34" s="12"/>
      <c r="G34" s="12"/>
    </row>
    <row r="35" spans="1:8" ht="18" customHeight="1" x14ac:dyDescent="0.35">
      <c r="A35" s="7" t="s">
        <v>27</v>
      </c>
      <c r="B35" s="26">
        <v>2852</v>
      </c>
      <c r="C35" s="8">
        <v>2645</v>
      </c>
      <c r="D35" s="8">
        <v>4134</v>
      </c>
      <c r="E35" s="8">
        <v>3865</v>
      </c>
      <c r="F35" s="8">
        <v>3956</v>
      </c>
      <c r="G35" s="8">
        <v>4164</v>
      </c>
    </row>
    <row r="36" spans="1:8" ht="18" customHeight="1" x14ac:dyDescent="0.35">
      <c r="A36" s="7" t="s">
        <v>28</v>
      </c>
      <c r="B36" s="26">
        <v>18004</v>
      </c>
      <c r="C36" s="26">
        <v>21220</v>
      </c>
      <c r="D36" s="26">
        <v>29469</v>
      </c>
      <c r="E36" s="26">
        <v>35321</v>
      </c>
      <c r="F36" s="25">
        <v>34838</v>
      </c>
      <c r="G36" s="25">
        <v>38686</v>
      </c>
    </row>
    <row r="37" spans="1:8" ht="18" customHeight="1" x14ac:dyDescent="0.35">
      <c r="A37" s="57" t="s">
        <v>29</v>
      </c>
      <c r="B37" s="58">
        <f>SUM(B35:B36)</f>
        <v>20856</v>
      </c>
      <c r="C37" s="58">
        <f>SUM(C35:C36)</f>
        <v>23865</v>
      </c>
      <c r="D37" s="58">
        <f t="shared" ref="D37:G37" si="6">SUM(D35:D36)</f>
        <v>33603</v>
      </c>
      <c r="E37" s="58">
        <f t="shared" si="6"/>
        <v>39186</v>
      </c>
      <c r="F37" s="58">
        <f t="shared" si="6"/>
        <v>38794</v>
      </c>
      <c r="G37" s="58">
        <f t="shared" si="6"/>
        <v>42850</v>
      </c>
    </row>
    <row r="38" spans="1:8" ht="5" customHeight="1" x14ac:dyDescent="0.35">
      <c r="A38" s="4"/>
      <c r="B38" s="4"/>
      <c r="C38" s="4"/>
      <c r="D38" s="4"/>
      <c r="E38" s="4"/>
      <c r="F38" s="4"/>
      <c r="G38" s="4"/>
    </row>
    <row r="39" spans="1:8" ht="18" customHeight="1" x14ac:dyDescent="0.35">
      <c r="A39" s="57" t="s">
        <v>30</v>
      </c>
      <c r="B39" s="58">
        <f>SUM(B26+B32+B37)</f>
        <v>92768</v>
      </c>
      <c r="C39" s="58">
        <f>SUM(C26+C32+C37)</f>
        <v>108386</v>
      </c>
      <c r="D39" s="58">
        <f t="shared" ref="D39:G39" si="7">SUM(D26+D32+D37)</f>
        <v>117885</v>
      </c>
      <c r="E39" s="58">
        <f t="shared" si="7"/>
        <v>125816</v>
      </c>
      <c r="F39" s="58">
        <f t="shared" si="7"/>
        <v>137814</v>
      </c>
      <c r="G39" s="58">
        <f t="shared" si="7"/>
        <v>148903</v>
      </c>
      <c r="H39" s="59"/>
    </row>
    <row r="40" spans="1:8" ht="5" customHeight="1" x14ac:dyDescent="0.35">
      <c r="A40" s="4"/>
      <c r="B40" s="4"/>
      <c r="C40" s="4"/>
      <c r="D40" s="4"/>
      <c r="E40" s="4"/>
      <c r="F40" s="4"/>
      <c r="G40" s="4"/>
    </row>
    <row r="41" spans="1:8" ht="18" customHeight="1" x14ac:dyDescent="0.35">
      <c r="A41" s="64" t="s">
        <v>31</v>
      </c>
      <c r="B41" s="65">
        <f>(B18-B39)</f>
        <v>0</v>
      </c>
      <c r="C41" s="65">
        <f>(C18-C39)</f>
        <v>0</v>
      </c>
      <c r="D41" s="65">
        <f t="shared" ref="D41:G41" si="8">(D18-D39)</f>
        <v>0</v>
      </c>
      <c r="E41" s="65">
        <f t="shared" si="8"/>
        <v>0</v>
      </c>
      <c r="F41" s="65">
        <f t="shared" si="8"/>
        <v>0</v>
      </c>
      <c r="G41" s="65">
        <f t="shared" si="8"/>
        <v>0</v>
      </c>
    </row>
    <row r="42" spans="1:8" ht="4.5" customHeight="1" x14ac:dyDescent="0.35"/>
    <row r="43" spans="1:8" ht="18" customHeight="1" x14ac:dyDescent="0.35">
      <c r="A43" s="110" t="s">
        <v>77</v>
      </c>
      <c r="B43" s="110"/>
      <c r="C43" s="110"/>
      <c r="D43" s="110"/>
      <c r="E43" s="110"/>
      <c r="F43" s="110"/>
      <c r="G43" s="110"/>
    </row>
    <row r="44" spans="1:8" ht="18" customHeight="1" x14ac:dyDescent="0.35"/>
    <row r="45" spans="1:8" ht="6" customHeight="1" x14ac:dyDescent="0.35"/>
    <row r="46" spans="1:8" ht="18" customHeight="1" x14ac:dyDescent="0.35"/>
    <row r="47" spans="1:8" ht="18" customHeight="1" x14ac:dyDescent="0.35"/>
    <row r="48" spans="1:8" ht="18" customHeight="1" x14ac:dyDescent="0.35"/>
    <row r="49" ht="18" customHeight="1" x14ac:dyDescent="0.35"/>
    <row r="50" ht="18" customHeight="1" x14ac:dyDescent="0.35"/>
    <row r="51" ht="18" customHeight="1" x14ac:dyDescent="0.35"/>
    <row r="52" ht="18" customHeight="1" x14ac:dyDescent="0.35"/>
    <row r="53" ht="18" customHeight="1" x14ac:dyDescent="0.35"/>
    <row r="54" ht="6" customHeight="1" x14ac:dyDescent="0.35"/>
    <row r="55" ht="18" customHeight="1" x14ac:dyDescent="0.35"/>
    <row r="56" ht="6" customHeight="1" x14ac:dyDescent="0.35"/>
    <row r="57" ht="18" customHeight="1" x14ac:dyDescent="0.35"/>
    <row r="58" ht="14.25" customHeight="1" x14ac:dyDescent="0.35"/>
    <row r="59" ht="14.25" customHeight="1" x14ac:dyDescent="0.35"/>
  </sheetData>
  <mergeCells count="2">
    <mergeCell ref="A1:G1"/>
    <mergeCell ref="A43:G43"/>
  </mergeCell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showGridLines="0" zoomScale="70" zoomScaleNormal="70" workbookViewId="0">
      <selection activeCell="A48" sqref="A48"/>
    </sheetView>
  </sheetViews>
  <sheetFormatPr defaultColWidth="8.6328125" defaultRowHeight="14.5" x14ac:dyDescent="0.35"/>
  <cols>
    <col min="1" max="1" width="50.6328125" style="1" customWidth="1"/>
    <col min="2" max="7" width="10.6328125" style="1" customWidth="1"/>
  </cols>
  <sheetData>
    <row r="1" spans="1:7" ht="35" customHeight="1" x14ac:dyDescent="0.35">
      <c r="A1" s="112" t="s">
        <v>32</v>
      </c>
      <c r="B1" s="112"/>
      <c r="C1" s="112"/>
      <c r="D1" s="112"/>
      <c r="E1" s="112"/>
      <c r="F1" s="112"/>
      <c r="G1" s="112"/>
    </row>
    <row r="2" spans="1:7" ht="21.75" customHeight="1" x14ac:dyDescent="0.35">
      <c r="A2" s="66" t="s">
        <v>1</v>
      </c>
      <c r="B2" s="66" t="s">
        <v>78</v>
      </c>
      <c r="C2" s="66" t="s">
        <v>86</v>
      </c>
      <c r="D2" s="66" t="s">
        <v>87</v>
      </c>
      <c r="E2" s="66" t="s">
        <v>88</v>
      </c>
      <c r="F2" s="66" t="s">
        <v>150</v>
      </c>
      <c r="G2" s="66" t="s">
        <v>90</v>
      </c>
    </row>
    <row r="3" spans="1:7" ht="18" customHeight="1" x14ac:dyDescent="0.35">
      <c r="A3" s="67" t="s">
        <v>33</v>
      </c>
      <c r="B3" s="67"/>
      <c r="C3" s="68"/>
      <c r="D3" s="68"/>
      <c r="E3" s="68"/>
      <c r="F3" s="68"/>
      <c r="G3" s="68"/>
    </row>
    <row r="4" spans="1:7" ht="18" customHeight="1" x14ac:dyDescent="0.35">
      <c r="A4" s="31" t="s">
        <v>34</v>
      </c>
      <c r="B4" s="78">
        <v>16639</v>
      </c>
      <c r="C4" s="35">
        <f>INDEX('Income Statement'!C:C, MATCH("Profit After Tax (PAT) or Profit for the Year", 'Income Statement'!A:A, 0))</f>
        <v>19423</v>
      </c>
      <c r="D4" s="35">
        <f>INDEX('Income Statement'!D:D, MATCH("Profit After Tax (PAT) or Profit for the Year", 'Income Statement'!A:A, 0))</f>
        <v>22146</v>
      </c>
      <c r="E4" s="35">
        <f>INDEX('Income Statement'!E:E, MATCH("Profit After Tax (PAT) or Profit for the Year", 'Income Statement'!A:A, 0))</f>
        <v>24108</v>
      </c>
      <c r="F4" s="35">
        <f>INDEX('Income Statement'!F:F, MATCH("Profit After Tax (PAT) or Profit for the Year", 'Income Statement'!A:A, 0))</f>
        <v>26248</v>
      </c>
      <c r="G4" s="35">
        <f>INDEX('Income Statement'!G:G, MATCH("Profit After Tax (PAT) or Profit for the Year", 'Income Statement'!A:A, 0))</f>
        <v>26750</v>
      </c>
    </row>
    <row r="5" spans="1:7" ht="4.5" customHeight="1" x14ac:dyDescent="0.35">
      <c r="A5" s="32"/>
      <c r="B5" s="32"/>
      <c r="C5" s="32"/>
      <c r="D5" s="32"/>
      <c r="E5" s="32"/>
      <c r="F5" s="32"/>
      <c r="G5" s="32"/>
    </row>
    <row r="6" spans="1:7" ht="18" customHeight="1" x14ac:dyDescent="0.35">
      <c r="A6" s="69" t="s">
        <v>35</v>
      </c>
      <c r="B6" s="69"/>
      <c r="C6" s="33"/>
      <c r="D6" s="33"/>
      <c r="E6" s="33"/>
      <c r="F6" s="33"/>
      <c r="G6" s="33"/>
    </row>
    <row r="7" spans="1:7" ht="18" customHeight="1" x14ac:dyDescent="0.35">
      <c r="A7" s="34" t="s">
        <v>131</v>
      </c>
      <c r="B7" s="36">
        <v>5368</v>
      </c>
      <c r="C7" s="36">
        <v>7205</v>
      </c>
      <c r="D7" s="36">
        <v>7964</v>
      </c>
      <c r="E7" s="36">
        <v>9214</v>
      </c>
      <c r="F7" s="36">
        <v>9740</v>
      </c>
      <c r="G7" s="36">
        <v>10858</v>
      </c>
    </row>
    <row r="8" spans="1:7" ht="18" customHeight="1" x14ac:dyDescent="0.35">
      <c r="A8" s="34" t="s">
        <v>61</v>
      </c>
      <c r="B8" s="36">
        <v>2893</v>
      </c>
      <c r="C8" s="36">
        <v>3267</v>
      </c>
      <c r="D8" s="36">
        <v>3476</v>
      </c>
      <c r="E8" s="36">
        <v>4225</v>
      </c>
      <c r="F8" s="36">
        <v>4678</v>
      </c>
      <c r="G8" s="36">
        <v>4812</v>
      </c>
    </row>
    <row r="9" spans="1:7" ht="18" customHeight="1" x14ac:dyDescent="0.35">
      <c r="A9" s="34" t="s">
        <v>132</v>
      </c>
      <c r="B9" s="95">
        <v>-1613</v>
      </c>
      <c r="C9" s="95">
        <v>-1615</v>
      </c>
      <c r="D9" s="95">
        <v>-1645</v>
      </c>
      <c r="E9" s="95">
        <v>-1817</v>
      </c>
      <c r="F9" s="95">
        <v>-2067</v>
      </c>
      <c r="G9" s="95">
        <v>-2570</v>
      </c>
    </row>
    <row r="10" spans="1:7" ht="18" customHeight="1" x14ac:dyDescent="0.35">
      <c r="A10" s="34" t="s">
        <v>6</v>
      </c>
      <c r="B10" s="36">
        <v>170</v>
      </c>
      <c r="C10" s="36">
        <v>195</v>
      </c>
      <c r="D10" s="36">
        <v>200</v>
      </c>
      <c r="E10" s="36">
        <v>284</v>
      </c>
      <c r="F10" s="36">
        <v>470</v>
      </c>
      <c r="G10" s="36">
        <v>416</v>
      </c>
    </row>
    <row r="11" spans="1:7" ht="18" customHeight="1" x14ac:dyDescent="0.35">
      <c r="A11" s="34" t="s">
        <v>133</v>
      </c>
      <c r="B11" s="36">
        <v>184</v>
      </c>
      <c r="C11" s="36">
        <v>-62</v>
      </c>
      <c r="D11" s="36">
        <v>119</v>
      </c>
      <c r="E11" s="36">
        <v>161</v>
      </c>
      <c r="F11" s="36">
        <v>76</v>
      </c>
      <c r="G11" s="36">
        <v>79</v>
      </c>
    </row>
    <row r="12" spans="1:7" ht="18" customHeight="1" x14ac:dyDescent="0.35">
      <c r="A12" s="34" t="s">
        <v>134</v>
      </c>
      <c r="B12" s="36">
        <v>279</v>
      </c>
      <c r="C12" s="36">
        <v>432</v>
      </c>
      <c r="D12" s="36">
        <v>661</v>
      </c>
      <c r="E12" s="36">
        <v>1430</v>
      </c>
      <c r="F12" s="36">
        <v>378</v>
      </c>
      <c r="G12" s="36">
        <v>1246</v>
      </c>
    </row>
    <row r="13" spans="1:7" ht="4.5" customHeight="1" x14ac:dyDescent="0.35">
      <c r="A13" s="32"/>
      <c r="B13" s="36"/>
      <c r="C13" s="32"/>
      <c r="D13" s="32"/>
      <c r="E13" s="32"/>
      <c r="F13" s="32"/>
      <c r="G13" s="32"/>
    </row>
    <row r="14" spans="1:7" ht="18" customHeight="1" x14ac:dyDescent="0.35">
      <c r="A14" s="69" t="s">
        <v>36</v>
      </c>
      <c r="B14" s="69"/>
      <c r="C14" s="33"/>
      <c r="D14" s="33"/>
      <c r="E14" s="33"/>
      <c r="F14" s="33"/>
      <c r="G14" s="33"/>
    </row>
    <row r="15" spans="1:7" ht="18" customHeight="1" x14ac:dyDescent="0.35">
      <c r="A15" s="34" t="s">
        <v>135</v>
      </c>
      <c r="B15" s="95">
        <v>-3861</v>
      </c>
      <c r="C15" s="95">
        <v>-1835</v>
      </c>
      <c r="D15" s="95">
        <v>-7937</v>
      </c>
      <c r="E15" s="95">
        <v>-7076</v>
      </c>
      <c r="F15" s="95">
        <v>-2667</v>
      </c>
      <c r="G15" s="95">
        <v>-1769</v>
      </c>
    </row>
    <row r="16" spans="1:7" ht="18" customHeight="1" x14ac:dyDescent="0.35">
      <c r="A16" s="34" t="s">
        <v>136</v>
      </c>
      <c r="B16" s="95">
        <v>76</v>
      </c>
      <c r="C16" s="95">
        <v>-534</v>
      </c>
      <c r="D16" s="95">
        <v>-1914</v>
      </c>
      <c r="E16" s="95">
        <v>-3108</v>
      </c>
      <c r="F16" s="95">
        <v>-1172</v>
      </c>
      <c r="G16" s="95">
        <v>-1024</v>
      </c>
    </row>
    <row r="17" spans="1:7" ht="18" customHeight="1" x14ac:dyDescent="0.35">
      <c r="A17" s="34" t="s">
        <v>27</v>
      </c>
      <c r="B17" s="95">
        <v>-373</v>
      </c>
      <c r="C17" s="95">
        <v>-245</v>
      </c>
      <c r="D17" s="95">
        <v>1489</v>
      </c>
      <c r="E17" s="95">
        <v>-279</v>
      </c>
      <c r="F17" s="95">
        <v>91</v>
      </c>
      <c r="G17" s="95">
        <v>176</v>
      </c>
    </row>
    <row r="18" spans="1:7" ht="18" customHeight="1" x14ac:dyDescent="0.35">
      <c r="A18" s="34" t="s">
        <v>137</v>
      </c>
      <c r="B18" s="95">
        <v>1791</v>
      </c>
      <c r="C18" s="95">
        <v>3382</v>
      </c>
      <c r="D18" s="95">
        <v>6938</v>
      </c>
      <c r="E18" s="95">
        <v>4119</v>
      </c>
      <c r="F18" s="95">
        <v>-1334</v>
      </c>
      <c r="G18" s="95">
        <v>2322</v>
      </c>
    </row>
    <row r="19" spans="1:7" ht="4.5" customHeight="1" x14ac:dyDescent="0.35">
      <c r="A19" s="32"/>
      <c r="B19" s="32"/>
      <c r="C19" s="32"/>
      <c r="D19" s="32"/>
      <c r="E19" s="32"/>
      <c r="F19" s="32"/>
      <c r="G19" s="32"/>
    </row>
    <row r="20" spans="1:7" ht="18" customHeight="1" x14ac:dyDescent="0.35">
      <c r="A20" s="70" t="s">
        <v>37</v>
      </c>
      <c r="B20" s="71">
        <f t="shared" ref="B20:G20" si="0">SUM(B4,B7:B12,B15:B18)</f>
        <v>21553</v>
      </c>
      <c r="C20" s="71">
        <f t="shared" si="0"/>
        <v>29613</v>
      </c>
      <c r="D20" s="71">
        <f t="shared" si="0"/>
        <v>31497</v>
      </c>
      <c r="E20" s="71">
        <f t="shared" si="0"/>
        <v>31261</v>
      </c>
      <c r="F20" s="71">
        <f t="shared" si="0"/>
        <v>34441</v>
      </c>
      <c r="G20" s="71">
        <f t="shared" si="0"/>
        <v>41296</v>
      </c>
    </row>
    <row r="21" spans="1:7" ht="18" customHeight="1" x14ac:dyDescent="0.35">
      <c r="A21" s="31" t="s">
        <v>138</v>
      </c>
      <c r="B21" s="96">
        <v>-4550</v>
      </c>
      <c r="C21" s="96">
        <v>-6389</v>
      </c>
      <c r="D21" s="96">
        <v>-7612</v>
      </c>
      <c r="E21" s="96">
        <v>-8794</v>
      </c>
      <c r="F21" s="96">
        <v>-9231</v>
      </c>
      <c r="G21" s="96">
        <v>-5602</v>
      </c>
    </row>
    <row r="22" spans="1:7" ht="4.5" customHeight="1" x14ac:dyDescent="0.35">
      <c r="A22" s="32"/>
      <c r="B22" s="32"/>
      <c r="C22" s="32"/>
      <c r="D22" s="32"/>
      <c r="E22" s="32"/>
      <c r="F22" s="32"/>
      <c r="G22" s="32"/>
    </row>
    <row r="23" spans="1:7" ht="18" customHeight="1" x14ac:dyDescent="0.35">
      <c r="A23" s="72" t="s">
        <v>38</v>
      </c>
      <c r="B23" s="73">
        <f>SUM(B20:B21)</f>
        <v>17003</v>
      </c>
      <c r="C23" s="73">
        <f>SUM(C20:C21)</f>
        <v>23224</v>
      </c>
      <c r="D23" s="73">
        <f t="shared" ref="D23:G23" si="1">SUM(D20:D21)</f>
        <v>23885</v>
      </c>
      <c r="E23" s="73">
        <f t="shared" si="1"/>
        <v>22467</v>
      </c>
      <c r="F23" s="73">
        <f t="shared" si="1"/>
        <v>25210</v>
      </c>
      <c r="G23" s="73">
        <f t="shared" si="1"/>
        <v>35694</v>
      </c>
    </row>
    <row r="24" spans="1:7" ht="4.5" customHeight="1" x14ac:dyDescent="0.35">
      <c r="A24" s="32"/>
      <c r="B24" s="32"/>
      <c r="C24" s="32"/>
      <c r="D24" s="32"/>
      <c r="E24" s="32"/>
      <c r="F24" s="32"/>
      <c r="G24" s="32"/>
    </row>
    <row r="25" spans="1:7" ht="18" customHeight="1" x14ac:dyDescent="0.35">
      <c r="A25" s="67" t="s">
        <v>39</v>
      </c>
      <c r="B25" s="67"/>
      <c r="C25" s="30"/>
      <c r="D25" s="30"/>
      <c r="E25" s="30"/>
      <c r="F25" s="30"/>
      <c r="G25" s="30"/>
    </row>
    <row r="26" spans="1:7" ht="18" customHeight="1" x14ac:dyDescent="0.35">
      <c r="A26" s="31" t="s">
        <v>139</v>
      </c>
      <c r="B26" s="96">
        <v>-3307</v>
      </c>
      <c r="C26" s="96">
        <v>-2107</v>
      </c>
      <c r="D26" s="96">
        <v>-2161</v>
      </c>
      <c r="E26" s="96">
        <v>-2579</v>
      </c>
      <c r="F26" s="96">
        <v>-2201</v>
      </c>
      <c r="G26" s="96">
        <v>-2237</v>
      </c>
    </row>
    <row r="27" spans="1:7" ht="18" customHeight="1" x14ac:dyDescent="0.35">
      <c r="A27" s="31" t="s">
        <v>140</v>
      </c>
      <c r="B27" s="96">
        <v>-1860</v>
      </c>
      <c r="C27" s="96">
        <v>-1221</v>
      </c>
      <c r="D27" s="96">
        <v>0</v>
      </c>
      <c r="E27" s="96">
        <v>-910</v>
      </c>
      <c r="F27" s="96">
        <v>0</v>
      </c>
      <c r="G27" s="96">
        <v>-3155</v>
      </c>
    </row>
    <row r="28" spans="1:7" ht="18" customHeight="1" x14ac:dyDescent="0.35">
      <c r="A28" s="31" t="s">
        <v>141</v>
      </c>
      <c r="B28" s="96">
        <v>1929</v>
      </c>
      <c r="C28" s="96">
        <v>1418</v>
      </c>
      <c r="D28" s="96">
        <v>1898</v>
      </c>
      <c r="E28" s="96">
        <v>1525</v>
      </c>
      <c r="F28" s="96">
        <v>1768</v>
      </c>
      <c r="G28" s="96">
        <v>2040</v>
      </c>
    </row>
    <row r="29" spans="1:7" ht="18" customHeight="1" x14ac:dyDescent="0.35">
      <c r="A29" s="31" t="s">
        <v>142</v>
      </c>
      <c r="B29" s="96">
        <v>2999</v>
      </c>
      <c r="C29" s="96">
        <v>-5546</v>
      </c>
      <c r="D29" s="96">
        <v>-6153</v>
      </c>
      <c r="E29" s="96">
        <v>755</v>
      </c>
      <c r="F29" s="96">
        <v>-4576</v>
      </c>
      <c r="G29" s="96">
        <v>1406</v>
      </c>
    </row>
    <row r="30" spans="1:7" ht="4.5" customHeight="1" x14ac:dyDescent="0.35">
      <c r="A30" s="32"/>
      <c r="B30" s="37"/>
      <c r="C30" s="32"/>
      <c r="D30" s="32"/>
      <c r="E30" s="32"/>
      <c r="F30" s="32"/>
      <c r="G30" s="32"/>
    </row>
    <row r="31" spans="1:7" ht="18" customHeight="1" x14ac:dyDescent="0.35">
      <c r="A31" s="72" t="s">
        <v>40</v>
      </c>
      <c r="B31" s="73">
        <f>SUM(B26:B30)</f>
        <v>-239</v>
      </c>
      <c r="C31" s="73">
        <f>SUM(C26:C29)</f>
        <v>-7456</v>
      </c>
      <c r="D31" s="73">
        <f>SUM(D26:D29)</f>
        <v>-6416</v>
      </c>
      <c r="E31" s="73">
        <f t="shared" ref="E31:G31" si="2">SUM(E26:E29)</f>
        <v>-1209</v>
      </c>
      <c r="F31" s="73">
        <f t="shared" si="2"/>
        <v>-5009</v>
      </c>
      <c r="G31" s="73">
        <f t="shared" si="2"/>
        <v>-1946</v>
      </c>
    </row>
    <row r="32" spans="1:7" ht="4.5" customHeight="1" x14ac:dyDescent="0.35">
      <c r="A32" s="32"/>
      <c r="B32" s="32"/>
      <c r="C32" s="32"/>
      <c r="D32" s="32"/>
      <c r="E32" s="32"/>
      <c r="F32" s="32"/>
      <c r="G32" s="32"/>
    </row>
    <row r="33" spans="1:7" ht="18" customHeight="1" x14ac:dyDescent="0.35">
      <c r="A33" s="67" t="s">
        <v>41</v>
      </c>
      <c r="B33" s="67"/>
      <c r="C33" s="30"/>
      <c r="D33" s="30"/>
      <c r="E33" s="30"/>
      <c r="F33" s="30"/>
      <c r="G33" s="30"/>
    </row>
    <row r="34" spans="1:7" ht="18" customHeight="1" x14ac:dyDescent="0.35">
      <c r="A34" s="31" t="s">
        <v>143</v>
      </c>
      <c r="B34" s="96">
        <v>-9515</v>
      </c>
      <c r="C34" s="96">
        <v>-9117</v>
      </c>
      <c r="D34" s="96">
        <v>-12652</v>
      </c>
      <c r="E34" s="96">
        <v>-13631</v>
      </c>
      <c r="F34" s="96">
        <v>-14692</v>
      </c>
      <c r="G34" s="96">
        <v>-20287</v>
      </c>
    </row>
    <row r="35" spans="1:7" ht="18" customHeight="1" x14ac:dyDescent="0.35">
      <c r="A35" s="31" t="s">
        <v>144</v>
      </c>
      <c r="B35" s="96">
        <v>-571</v>
      </c>
      <c r="C35" s="96">
        <v>-698</v>
      </c>
      <c r="D35" s="96">
        <v>-915</v>
      </c>
      <c r="E35" s="96">
        <v>-1231</v>
      </c>
      <c r="F35" s="96">
        <v>-2024</v>
      </c>
      <c r="G35" s="96">
        <v>-2355</v>
      </c>
    </row>
    <row r="36" spans="1:7" ht="18" customHeight="1" x14ac:dyDescent="0.35">
      <c r="A36" s="31" t="s">
        <v>145</v>
      </c>
      <c r="B36" s="96">
        <v>-7478</v>
      </c>
      <c r="C36" s="96">
        <v>0</v>
      </c>
      <c r="D36" s="96">
        <v>-11125</v>
      </c>
      <c r="E36" s="96">
        <v>-11499</v>
      </c>
      <c r="F36" s="96">
        <v>0</v>
      </c>
      <c r="G36" s="96">
        <v>0</v>
      </c>
    </row>
    <row r="37" spans="1:7" ht="18" customHeight="1" x14ac:dyDescent="0.35">
      <c r="A37" s="31" t="s">
        <v>146</v>
      </c>
      <c r="B37" s="96">
        <v>-27</v>
      </c>
      <c r="C37" s="96">
        <v>29</v>
      </c>
      <c r="D37" s="96">
        <v>50</v>
      </c>
      <c r="E37" s="96">
        <v>-334</v>
      </c>
      <c r="F37" s="96">
        <v>-788</v>
      </c>
      <c r="G37" s="96">
        <v>-1519</v>
      </c>
    </row>
    <row r="38" spans="1:7" ht="4.5" customHeight="1" x14ac:dyDescent="0.35">
      <c r="A38" s="32"/>
      <c r="B38" s="37"/>
      <c r="C38" s="32"/>
      <c r="D38" s="32"/>
      <c r="E38" s="32"/>
      <c r="F38" s="32"/>
      <c r="G38" s="32"/>
    </row>
    <row r="39" spans="1:7" ht="18" customHeight="1" x14ac:dyDescent="0.35">
      <c r="A39" s="72" t="s">
        <v>42</v>
      </c>
      <c r="B39" s="73">
        <f>SUM(B34:B37)</f>
        <v>-17591</v>
      </c>
      <c r="C39" s="73">
        <f>SUM(C34:C37)</f>
        <v>-9786</v>
      </c>
      <c r="D39" s="73">
        <f t="shared" ref="D39:G39" si="3">SUM(D34:D37)</f>
        <v>-24642</v>
      </c>
      <c r="E39" s="73">
        <f t="shared" si="3"/>
        <v>-26695</v>
      </c>
      <c r="F39" s="73">
        <f t="shared" si="3"/>
        <v>-17504</v>
      </c>
      <c r="G39" s="73">
        <f t="shared" si="3"/>
        <v>-24161</v>
      </c>
    </row>
    <row r="40" spans="1:7" ht="4.5" customHeight="1" x14ac:dyDescent="0.35">
      <c r="A40" s="32"/>
      <c r="B40" s="32"/>
      <c r="C40" s="32"/>
      <c r="D40" s="32"/>
      <c r="E40" s="32"/>
      <c r="F40" s="32"/>
      <c r="G40" s="32"/>
    </row>
    <row r="41" spans="1:7" ht="18" customHeight="1" x14ac:dyDescent="0.35">
      <c r="A41" s="67" t="s">
        <v>43</v>
      </c>
      <c r="B41" s="67"/>
      <c r="C41" s="30"/>
      <c r="D41" s="30"/>
      <c r="E41" s="30"/>
      <c r="F41" s="30"/>
      <c r="G41" s="30"/>
    </row>
    <row r="42" spans="1:7" ht="18" customHeight="1" x14ac:dyDescent="0.35">
      <c r="A42" s="70" t="s">
        <v>44</v>
      </c>
      <c r="B42" s="71">
        <f t="shared" ref="B42:G42" si="4">B23+B31+B39</f>
        <v>-827</v>
      </c>
      <c r="C42" s="71">
        <f t="shared" si="4"/>
        <v>5982</v>
      </c>
      <c r="D42" s="71">
        <f t="shared" si="4"/>
        <v>-7173</v>
      </c>
      <c r="E42" s="71">
        <f t="shared" si="4"/>
        <v>-5437</v>
      </c>
      <c r="F42" s="71">
        <f t="shared" si="4"/>
        <v>2697</v>
      </c>
      <c r="G42" s="71">
        <f t="shared" si="4"/>
        <v>9587</v>
      </c>
    </row>
    <row r="43" spans="1:7" ht="18" customHeight="1" x14ac:dyDescent="0.35">
      <c r="A43" s="31" t="s">
        <v>147</v>
      </c>
      <c r="B43" s="96">
        <v>-92</v>
      </c>
      <c r="C43" s="96">
        <v>83</v>
      </c>
      <c r="D43" s="96">
        <v>-69</v>
      </c>
      <c r="E43" s="96">
        <v>138</v>
      </c>
      <c r="F43" s="96">
        <v>-84</v>
      </c>
      <c r="G43" s="96">
        <v>82</v>
      </c>
    </row>
    <row r="44" spans="1:7" ht="18" customHeight="1" x14ac:dyDescent="0.35">
      <c r="A44" s="31" t="s">
        <v>45</v>
      </c>
      <c r="B44" s="96">
        <v>19568</v>
      </c>
      <c r="C44" s="96">
        <f>INDEX('Balance Sheet'!B:B,MATCH("Cash &amp; Cash Equivalents",'Balance Sheet'!A:A,0))</f>
        <v>18649</v>
      </c>
      <c r="D44" s="96">
        <f>INDEX('Balance Sheet'!C:C,MATCH("Cash &amp; Cash Equivalents",'Balance Sheet'!A:A,0))</f>
        <v>24714</v>
      </c>
      <c r="E44" s="96">
        <f>INDEX('Balance Sheet'!D:D,MATCH("Cash &amp; Cash Equivalents",'Balance Sheet'!A:A,0))</f>
        <v>17472</v>
      </c>
      <c r="F44" s="96">
        <f>INDEX('Balance Sheet'!E:E,MATCH("Cash &amp; Cash Equivalents",'Balance Sheet'!A:A,0))</f>
        <v>12173</v>
      </c>
      <c r="G44" s="96">
        <f>INDEX('Balance Sheet'!F:F,MATCH("Cash &amp; Cash Equivalents",'Balance Sheet'!A:A,0))</f>
        <v>14786</v>
      </c>
    </row>
    <row r="45" spans="1:7" ht="18" customHeight="1" x14ac:dyDescent="0.35">
      <c r="A45" s="70" t="s">
        <v>46</v>
      </c>
      <c r="B45" s="71">
        <f t="shared" ref="B45:G45" si="5">B42+B43+B44</f>
        <v>18649</v>
      </c>
      <c r="C45" s="71">
        <f t="shared" si="5"/>
        <v>24714</v>
      </c>
      <c r="D45" s="71">
        <f t="shared" si="5"/>
        <v>17472</v>
      </c>
      <c r="E45" s="71">
        <f t="shared" si="5"/>
        <v>12173</v>
      </c>
      <c r="F45" s="71">
        <f t="shared" si="5"/>
        <v>14786</v>
      </c>
      <c r="G45" s="71">
        <f t="shared" si="5"/>
        <v>24455</v>
      </c>
    </row>
    <row r="46" spans="1:7" ht="4.5" customHeight="1" x14ac:dyDescent="0.35">
      <c r="A46" s="32"/>
      <c r="B46" s="32"/>
      <c r="C46" s="32"/>
      <c r="D46" s="32"/>
      <c r="E46" s="32"/>
      <c r="F46" s="32"/>
      <c r="G46" s="32"/>
    </row>
    <row r="47" spans="1:7" ht="18" customHeight="1" x14ac:dyDescent="0.35">
      <c r="A47" s="67" t="s">
        <v>152</v>
      </c>
      <c r="B47" s="67"/>
      <c r="C47" s="30"/>
      <c r="D47" s="30"/>
      <c r="E47" s="30"/>
      <c r="F47" s="30"/>
      <c r="G47" s="30"/>
    </row>
    <row r="48" spans="1:7" ht="18" customHeight="1" x14ac:dyDescent="0.35">
      <c r="A48" s="74" t="s">
        <v>47</v>
      </c>
      <c r="B48" s="75">
        <f t="shared" ref="B48:G48" si="6">B23+B26</f>
        <v>13696</v>
      </c>
      <c r="C48" s="75">
        <f t="shared" si="6"/>
        <v>21117</v>
      </c>
      <c r="D48" s="75">
        <f t="shared" si="6"/>
        <v>21724</v>
      </c>
      <c r="E48" s="75">
        <f t="shared" si="6"/>
        <v>19888</v>
      </c>
      <c r="F48" s="75">
        <f t="shared" si="6"/>
        <v>23009</v>
      </c>
      <c r="G48" s="75">
        <f t="shared" si="6"/>
        <v>33457</v>
      </c>
    </row>
    <row r="49" spans="1:7" ht="18" customHeight="1" x14ac:dyDescent="0.35">
      <c r="A49" s="74" t="s">
        <v>48</v>
      </c>
      <c r="B49" s="76">
        <f>B48/'Income Statement'!B3</f>
        <v>0.15085195669174256</v>
      </c>
      <c r="C49" s="76">
        <f>C48/'Income Statement'!C3</f>
        <v>0.21017796002866471</v>
      </c>
      <c r="D49" s="76">
        <f>D48/'Income Statement'!D3</f>
        <v>0.17859110004028247</v>
      </c>
      <c r="E49" s="76">
        <f>E48/'Income Statement'!E3</f>
        <v>0.13550730068748423</v>
      </c>
      <c r="F49" s="76">
        <f>F48/'Income Statement'!F3</f>
        <v>0.14972994078219562</v>
      </c>
      <c r="G49" s="76">
        <f>G48/'Income Statement'!G3</f>
        <v>0.20527026197926254</v>
      </c>
    </row>
    <row r="50" spans="1:7" ht="18" customHeight="1" x14ac:dyDescent="0.35">
      <c r="A50" s="74" t="s">
        <v>49</v>
      </c>
      <c r="B50" s="77">
        <f>B23/'Income Statement'!B17</f>
        <v>1.0218763146823728</v>
      </c>
      <c r="C50" s="77">
        <f>C23/'Income Statement'!C17</f>
        <v>1.195695824537919</v>
      </c>
      <c r="D50" s="77">
        <f>D23/'Income Statement'!D17</f>
        <v>1.0785243384809897</v>
      </c>
      <c r="E50" s="77">
        <f>E23/'Income Statement'!E17</f>
        <v>0.93193130910900945</v>
      </c>
      <c r="F50" s="77">
        <f>F23/'Income Statement'!F17</f>
        <v>0.9604541298384639</v>
      </c>
      <c r="G50" s="77">
        <f>G23/'Income Statement'!G17</f>
        <v>1.3343551401869158</v>
      </c>
    </row>
    <row r="51" spans="1:7" ht="18" customHeight="1" x14ac:dyDescent="0.35">
      <c r="A51" s="74" t="s">
        <v>50</v>
      </c>
      <c r="B51" s="76">
        <f t="shared" ref="B51:G51" si="7">ABS(B26)/B23</f>
        <v>0.1944950891019232</v>
      </c>
      <c r="C51" s="76">
        <f t="shared" si="7"/>
        <v>9.0725111953151916E-2</v>
      </c>
      <c r="D51" s="76">
        <f t="shared" si="7"/>
        <v>9.0475193636173332E-2</v>
      </c>
      <c r="E51" s="76">
        <f t="shared" si="7"/>
        <v>0.11479058174211065</v>
      </c>
      <c r="F51" s="76">
        <f t="shared" si="7"/>
        <v>8.7306624355414517E-2</v>
      </c>
      <c r="G51" s="76">
        <f t="shared" si="7"/>
        <v>6.2671597467361465E-2</v>
      </c>
    </row>
    <row r="52" spans="1:7" ht="4.5" customHeight="1" x14ac:dyDescent="0.35">
      <c r="A52" s="32"/>
      <c r="B52" s="32"/>
      <c r="C52" s="32"/>
      <c r="D52" s="32"/>
      <c r="E52" s="32"/>
      <c r="F52" s="32"/>
      <c r="G52" s="32"/>
    </row>
    <row r="53" spans="1:7" ht="16.5" customHeight="1" x14ac:dyDescent="0.35">
      <c r="A53" s="110" t="s">
        <v>77</v>
      </c>
      <c r="B53" s="110"/>
      <c r="C53" s="110"/>
      <c r="D53" s="110"/>
      <c r="E53" s="110"/>
      <c r="F53" s="110"/>
      <c r="G53" s="110"/>
    </row>
  </sheetData>
  <mergeCells count="2">
    <mergeCell ref="A1:G1"/>
    <mergeCell ref="A53:G53"/>
  </mergeCell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
  <sheetViews>
    <sheetView tabSelected="1" zoomScale="68" zoomScaleNormal="68" workbookViewId="0">
      <selection activeCell="G2" sqref="G2"/>
    </sheetView>
  </sheetViews>
  <sheetFormatPr defaultRowHeight="14.5" x14ac:dyDescent="0.35"/>
  <cols>
    <col min="1" max="1" width="40.6328125" customWidth="1"/>
    <col min="2" max="6" width="15.6328125" customWidth="1"/>
  </cols>
  <sheetData>
    <row r="1" spans="1:9" ht="40" customHeight="1" x14ac:dyDescent="0.35">
      <c r="A1" s="113" t="s">
        <v>84</v>
      </c>
      <c r="B1" s="113"/>
      <c r="C1" s="113"/>
      <c r="D1" s="113"/>
      <c r="E1" s="113"/>
      <c r="F1" s="113"/>
    </row>
    <row r="2" spans="1:9" ht="35" customHeight="1" x14ac:dyDescent="0.35">
      <c r="A2" s="81" t="s">
        <v>85</v>
      </c>
      <c r="B2" s="82" t="s">
        <v>86</v>
      </c>
      <c r="C2" s="82" t="s">
        <v>87</v>
      </c>
      <c r="D2" s="82" t="s">
        <v>88</v>
      </c>
      <c r="E2" s="82" t="s">
        <v>89</v>
      </c>
      <c r="F2" s="82" t="s">
        <v>90</v>
      </c>
    </row>
    <row r="3" spans="1:9" ht="35" customHeight="1" x14ac:dyDescent="0.35">
      <c r="A3" s="114" t="s">
        <v>125</v>
      </c>
      <c r="B3" s="114"/>
      <c r="C3" s="114"/>
      <c r="D3" s="114"/>
      <c r="E3" s="114"/>
      <c r="F3" s="114"/>
    </row>
    <row r="4" spans="1:9" ht="30" customHeight="1" x14ac:dyDescent="0.35">
      <c r="A4" s="83" t="s">
        <v>126</v>
      </c>
      <c r="B4" s="121">
        <f>('Income Statement'!C3-'Income Statement'!B3)/'Income Statement'!B3</f>
        <v>0.10662951173574474</v>
      </c>
      <c r="C4" s="121">
        <f>('Income Statement'!D3-'Income Statement'!C3)/'Income Statement'!C3</f>
        <v>0.21069551715900947</v>
      </c>
      <c r="D4" s="121">
        <f>('Income Statement'!E3-'Income Statement'!D3)/'Income Statement'!D3</f>
        <v>0.20655864387829762</v>
      </c>
      <c r="E4" s="121">
        <f>('Income Statement'!F3-'Income Statement'!E3)/'Income Statement'!E3</f>
        <v>4.7033733741236108E-2</v>
      </c>
      <c r="F4" s="121">
        <f>('Income Statement'!G3-'Income Statement'!F3)/'Income Statement'!F3</f>
        <v>6.064944361293681E-2</v>
      </c>
    </row>
    <row r="5" spans="1:9" ht="30" customHeight="1" x14ac:dyDescent="0.35">
      <c r="A5" s="83" t="s">
        <v>127</v>
      </c>
      <c r="B5" s="121">
        <f>('Income Statement'!C17-'Income Statement'!B17)/'Income Statement'!B17</f>
        <v>0.1673177474607849</v>
      </c>
      <c r="C5" s="121">
        <f>('Income Statement'!D17-'Income Statement'!C17)/'Income Statement'!C17</f>
        <v>0.14019461463213714</v>
      </c>
      <c r="D5" s="121">
        <f>('Income Statement'!E17-'Income Statement'!D17)/'Income Statement'!D17</f>
        <v>8.8593876998103491E-2</v>
      </c>
      <c r="E5" s="121">
        <f>('Income Statement'!F17-'Income Statement'!E17)/'Income Statement'!E17</f>
        <v>8.8767214202754269E-2</v>
      </c>
      <c r="F5" s="121">
        <f>('Income Statement'!G17-'Income Statement'!F17)/'Income Statement'!F17</f>
        <v>1.9125266686985675E-2</v>
      </c>
    </row>
    <row r="6" spans="1:9" ht="30" customHeight="1" x14ac:dyDescent="0.35">
      <c r="A6" s="83" t="s">
        <v>128</v>
      </c>
      <c r="B6" s="121">
        <f>('Income Statement'!C18-'Income Statement'!B18)/'Income Statement'!B18</f>
        <v>0.17038747754683092</v>
      </c>
      <c r="C6" s="121">
        <f>('Income Statement'!D18-'Income Statement'!C18)/'Income Statement'!C18</f>
        <v>0.15150186362639781</v>
      </c>
      <c r="D6" s="121">
        <f>('Income Statement'!E18-'Income Statement'!D18)/'Income Statement'!D18</f>
        <v>9.7296268088347279E-2</v>
      </c>
      <c r="E6" s="121">
        <f>('Income Statement'!F18-'Income Statement'!E18)/'Income Statement'!E18</f>
        <v>9.9947943779281581E-2</v>
      </c>
      <c r="F6" s="121">
        <f>('Income Statement'!G18-'Income Statement'!F18)/'Income Statement'!F18</f>
        <v>1.7510648367250345E-2</v>
      </c>
    </row>
    <row r="7" spans="1:9" ht="30" customHeight="1" x14ac:dyDescent="0.35">
      <c r="A7" s="83" t="s">
        <v>129</v>
      </c>
      <c r="B7" s="121">
        <f>('Cash Flow'!C48-'Cash Flow'!B48)/'Cash Flow'!B48</f>
        <v>0.54183703271028039</v>
      </c>
      <c r="C7" s="121">
        <f>('Cash Flow'!D48-'Cash Flow'!C48)/'Cash Flow'!C48</f>
        <v>2.8744613344698584E-2</v>
      </c>
      <c r="D7" s="121">
        <f>('Cash Flow'!E48-'Cash Flow'!D48)/'Cash Flow'!D48</f>
        <v>-8.4514822316332172E-2</v>
      </c>
      <c r="E7" s="121">
        <f>('Cash Flow'!F48-'Cash Flow'!E48)/'Cash Flow'!E48</f>
        <v>0.15692880128720837</v>
      </c>
      <c r="F7" s="122">
        <f>('Cash Flow'!G48-'Cash Flow'!F48)/'Cash Flow'!F48</f>
        <v>0.45408318484071453</v>
      </c>
    </row>
    <row r="8" spans="1:9" ht="30" customHeight="1" x14ac:dyDescent="0.35">
      <c r="A8" s="83" t="s">
        <v>98</v>
      </c>
      <c r="B8" s="123">
        <v>0</v>
      </c>
      <c r="C8" s="123">
        <v>0</v>
      </c>
      <c r="D8" s="123">
        <v>0</v>
      </c>
      <c r="E8" s="123">
        <v>0</v>
      </c>
      <c r="F8" s="121">
        <f>('Income Statement'!G3/'Income Statement'!C3)^(1/4)-1</f>
        <v>0.12857123836344519</v>
      </c>
    </row>
    <row r="9" spans="1:9" ht="30" customHeight="1" x14ac:dyDescent="0.35">
      <c r="A9" s="83" t="s">
        <v>99</v>
      </c>
      <c r="B9" s="123">
        <v>0</v>
      </c>
      <c r="C9" s="123">
        <v>0</v>
      </c>
      <c r="D9" s="123">
        <v>0</v>
      </c>
      <c r="E9" s="123">
        <v>0</v>
      </c>
      <c r="F9" s="121">
        <f>('Income Statement'!G17/'Income Statement'!C17)^(1/4)-1</f>
        <v>8.3307797246227722E-2</v>
      </c>
    </row>
    <row r="10" spans="1:9" ht="5" customHeight="1" x14ac:dyDescent="0.35">
      <c r="A10" s="79"/>
      <c r="B10" s="79"/>
      <c r="C10" s="79"/>
      <c r="D10" s="79"/>
      <c r="E10" s="79"/>
      <c r="F10" s="79"/>
    </row>
    <row r="11" spans="1:9" ht="35" customHeight="1" x14ac:dyDescent="0.35">
      <c r="A11" s="115" t="s">
        <v>119</v>
      </c>
      <c r="B11" s="115"/>
      <c r="C11" s="115"/>
      <c r="D11" s="115"/>
      <c r="E11" s="115"/>
      <c r="F11" s="115"/>
    </row>
    <row r="12" spans="1:9" ht="30" customHeight="1" x14ac:dyDescent="0.35">
      <c r="A12" s="84" t="s">
        <v>91</v>
      </c>
      <c r="B12" s="124">
        <f>'Income Statement'!C5/'Income Statement'!C3</f>
        <v>0.34894298909148819</v>
      </c>
      <c r="C12" s="124">
        <f>'Income Statement'!D5/'Income Statement'!D3</f>
        <v>0.32590162856273791</v>
      </c>
      <c r="D12" s="124">
        <f>'Income Statement'!E5/'Income Statement'!E3</f>
        <v>0.30261571061614667</v>
      </c>
      <c r="E12" s="124">
        <f>'Income Statement'!F5/'Income Statement'!F3</f>
        <v>0.30101516236090325</v>
      </c>
      <c r="F12" s="124">
        <f>'Income Statement'!G5/'Income Statement'!G3</f>
        <v>0.30457696791214184</v>
      </c>
      <c r="I12" s="80"/>
    </row>
    <row r="13" spans="1:9" ht="30" customHeight="1" x14ac:dyDescent="0.35">
      <c r="A13" s="84" t="s">
        <v>92</v>
      </c>
      <c r="B13" s="124">
        <f>'Income Statement'!C12/'Income Statement'!C3</f>
        <v>0.27757982323433394</v>
      </c>
      <c r="C13" s="124">
        <f>'Income Statement'!D12/'Income Statement'!D3</f>
        <v>0.25888475102966929</v>
      </c>
      <c r="D13" s="124">
        <f>'Income Statement'!E12/'Income Statement'!E3</f>
        <v>0.23935898396778568</v>
      </c>
      <c r="E13" s="124">
        <f>'Income Statement'!F12/'Income Statement'!F3</f>
        <v>0.23703390381987374</v>
      </c>
      <c r="F13" s="124">
        <f>'Income Statement'!G12/'Income Statement'!G3</f>
        <v>0.24072642493404503</v>
      </c>
    </row>
    <row r="14" spans="1:9" ht="30" customHeight="1" x14ac:dyDescent="0.35">
      <c r="A14" s="84" t="s">
        <v>93</v>
      </c>
      <c r="B14" s="124">
        <f>'Income Statement'!C10/'Income Statement'!C3</f>
        <v>0.24506330121824987</v>
      </c>
      <c r="C14" s="124">
        <f>'Income Statement'!D10/'Income Statement'!D3</f>
        <v>0.23030885967724699</v>
      </c>
      <c r="D14" s="124">
        <f>'Income Statement'!E10/'Income Statement'!E3</f>
        <v>0.21057185879659596</v>
      </c>
      <c r="E14" s="124">
        <f>'Income Statement'!F10/'Income Statement'!F3</f>
        <v>0.20659204789483959</v>
      </c>
      <c r="F14" s="124">
        <f>'Income Statement'!G10/'Income Statement'!G3</f>
        <v>0.21120314129701209</v>
      </c>
    </row>
    <row r="15" spans="1:9" ht="30" customHeight="1" x14ac:dyDescent="0.35">
      <c r="A15" s="84" t="s">
        <v>94</v>
      </c>
      <c r="B15" s="124">
        <f>'Income Statement'!C17/'Income Statement'!C3</f>
        <v>0.19331754120550998</v>
      </c>
      <c r="C15" s="124">
        <f>'Income Statement'!D17/'Income Statement'!D3</f>
        <v>0.1820603250548746</v>
      </c>
      <c r="D15" s="124">
        <f>'Income Statement'!E17/'Income Statement'!E3</f>
        <v>0.16426035825492105</v>
      </c>
      <c r="E15" s="124">
        <f>'Income Statement'!F17/'Income Statement'!F3</f>
        <v>0.17080757467300059</v>
      </c>
      <c r="F15" s="124">
        <f>'Income Statement'!G17/'Income Statement'!G3</f>
        <v>0.16412049819007302</v>
      </c>
    </row>
    <row r="16" spans="1:9" ht="30" customHeight="1" x14ac:dyDescent="0.35">
      <c r="A16" s="84" t="s">
        <v>95</v>
      </c>
      <c r="B16" s="124">
        <f>('Income Statement'!C17/(('Balance Sheet'!C26+'Balance Sheet'!B26)/2))</f>
        <v>0.27236268282080406</v>
      </c>
      <c r="C16" s="124">
        <f>('Income Statement'!D17/(('Balance Sheet'!D26+'Balance Sheet'!C26)/2))</f>
        <v>0.29040506694291823</v>
      </c>
      <c r="D16" s="124">
        <f>('Income Statement'!E17/(('Balance Sheet'!E26+'Balance Sheet'!D26)/2))</f>
        <v>0.31819231708363305</v>
      </c>
      <c r="E16" s="124">
        <f>('Income Statement'!F17/(('Balance Sheet'!F26+'Balance Sheet'!E26)/2))</f>
        <v>0.31959867523865187</v>
      </c>
      <c r="F16" s="124">
        <f>('Income Statement'!G17/(('Balance Sheet'!G26+'Balance Sheet'!F26)/2))</f>
        <v>0.28971537495126282</v>
      </c>
    </row>
    <row r="17" spans="1:6" ht="30" customHeight="1" x14ac:dyDescent="0.35">
      <c r="A17" s="84" t="s">
        <v>96</v>
      </c>
      <c r="B17" s="124">
        <f>('Income Statement'!C17/(('Balance Sheet'!C18+'Balance Sheet'!B18)/2))</f>
        <v>0.19311572228243037</v>
      </c>
      <c r="C17" s="124">
        <f>('Income Statement'!D17/(('Balance Sheet'!D18+'Balance Sheet'!C18)/2))</f>
        <v>0.19574757702047546</v>
      </c>
      <c r="D17" s="124">
        <f>('Income Statement'!E17/(('Balance Sheet'!E18+'Balance Sheet'!D18)/2))</f>
        <v>0.19784900349198403</v>
      </c>
      <c r="E17" s="124">
        <f>('Income Statement'!F17/(('Balance Sheet'!F18+'Balance Sheet'!E18)/2))</f>
        <v>0.19912756514812427</v>
      </c>
      <c r="F17" s="124">
        <f>('Income Statement'!G17/(('Balance Sheet'!G18+'Balance Sheet'!F18)/2))</f>
        <v>0.18659514434093549</v>
      </c>
    </row>
    <row r="18" spans="1:6" ht="30" customHeight="1" x14ac:dyDescent="0.35">
      <c r="A18" s="84" t="s">
        <v>97</v>
      </c>
      <c r="B18" s="124">
        <f>('Income Statement'!C10/('Balance Sheet'!C18-'Balance Sheet'!C32))</f>
        <v>0.24463719733325384</v>
      </c>
      <c r="C18" s="124">
        <f>('Income Statement'!D10/('Balance Sheet'!D18-'Balance Sheet'!D32))</f>
        <v>0.25622147632592213</v>
      </c>
      <c r="D18" s="124">
        <f>('Income Statement'!E10/('Balance Sheet'!E18-'Balance Sheet'!E32))</f>
        <v>0.26878353814978129</v>
      </c>
      <c r="E18" s="124">
        <f>('Income Statement'!F10/('Balance Sheet'!F18-'Balance Sheet'!F32))</f>
        <v>0.24947546265372678</v>
      </c>
      <c r="F18" s="124">
        <f>('Income Statement'!G10/('Balance Sheet'!G18-'Balance Sheet'!G32))</f>
        <v>0.2475602827698791</v>
      </c>
    </row>
    <row r="19" spans="1:6" ht="5" customHeight="1" x14ac:dyDescent="0.35">
      <c r="A19" s="79"/>
      <c r="B19" s="79"/>
      <c r="C19" s="79"/>
      <c r="D19" s="79"/>
      <c r="E19" s="79"/>
      <c r="F19" s="79"/>
    </row>
    <row r="20" spans="1:6" ht="35" customHeight="1" x14ac:dyDescent="0.35">
      <c r="A20" s="116" t="s">
        <v>121</v>
      </c>
      <c r="B20" s="116"/>
      <c r="C20" s="116"/>
      <c r="D20" s="116"/>
      <c r="E20" s="116"/>
      <c r="F20" s="116"/>
    </row>
    <row r="21" spans="1:6" ht="30" customHeight="1" x14ac:dyDescent="0.35">
      <c r="A21" s="85" t="s">
        <v>100</v>
      </c>
      <c r="B21" s="125">
        <f>'Balance Sheet'!C16/'Balance Sheet'!C37</f>
        <v>2.5448564843913681</v>
      </c>
      <c r="C21" s="125">
        <f>'Balance Sheet'!D16/'Balance Sheet'!D37</f>
        <v>1.9993750557985894</v>
      </c>
      <c r="D21" s="125">
        <f>'Balance Sheet'!E16/'Balance Sheet'!E37</f>
        <v>1.8088347879344664</v>
      </c>
      <c r="E21" s="125">
        <f>'Balance Sheet'!F16/'Balance Sheet'!F37</f>
        <v>2.3053049440635149</v>
      </c>
      <c r="F21" s="125">
        <f>'Balance Sheet'!G16/'Balance Sheet'!G37</f>
        <v>2.2660210035005832</v>
      </c>
    </row>
    <row r="22" spans="1:6" ht="30" customHeight="1" x14ac:dyDescent="0.35">
      <c r="A22" s="85" t="s">
        <v>101</v>
      </c>
      <c r="B22" s="126">
        <f>('Balance Sheet'!C12+'Balance Sheet'!C13+'Balance Sheet'!C14)/'Balance Sheet'!C37</f>
        <v>1.9421747328724073</v>
      </c>
      <c r="C22" s="126">
        <f>('Balance Sheet'!D12+'Balance Sheet'!D13+'Balance Sheet'!D14)/'Balance Sheet'!D37</f>
        <v>1.3940124393655329</v>
      </c>
      <c r="D22" s="126">
        <f>('Balance Sheet'!E12+'Balance Sheet'!E13+'Balance Sheet'!E14)/'Balance Sheet'!E37</f>
        <v>1.1357627724187209</v>
      </c>
      <c r="E22" s="126">
        <f>('Balance Sheet'!F12+'Balance Sheet'!F13+'Balance Sheet'!F14)/'Balance Sheet'!F37</f>
        <v>1.4923441769345775</v>
      </c>
      <c r="F22" s="126">
        <f>('Balance Sheet'!G12+'Balance Sheet'!G13+'Balance Sheet'!G14)/'Balance Sheet'!G37</f>
        <v>1.5891481913652274</v>
      </c>
    </row>
    <row r="23" spans="1:6" ht="30" customHeight="1" x14ac:dyDescent="0.35">
      <c r="A23" s="85" t="s">
        <v>102</v>
      </c>
      <c r="B23" s="125">
        <f>('Balance Sheet'!C14+'Balance Sheet'!C12)/'Balance Sheet'!C37</f>
        <v>1.1337104546406871</v>
      </c>
      <c r="C23" s="125">
        <f>('Balance Sheet'!D14+'Balance Sheet'!D12)/'Balance Sheet'!D37</f>
        <v>0.71853703538374547</v>
      </c>
      <c r="D23" s="125">
        <f>('Balance Sheet'!E14+'Balance Sheet'!E12)/'Balance Sheet'!E37</f>
        <v>0.48695962843872814</v>
      </c>
      <c r="E23" s="125">
        <f>('Balance Sheet'!F14+'Balance Sheet'!F12)/'Balance Sheet'!F37</f>
        <v>0.71405371964736819</v>
      </c>
      <c r="F23" s="125">
        <f>('Balance Sheet'!G14+'Balance Sheet'!G12)/'Balance Sheet'!G37</f>
        <v>0.86200700116686113</v>
      </c>
    </row>
    <row r="24" spans="1:6" ht="5" customHeight="1" x14ac:dyDescent="0.35">
      <c r="A24" s="79"/>
      <c r="B24" s="79"/>
      <c r="C24" s="79"/>
      <c r="D24" s="79"/>
      <c r="E24" s="79"/>
      <c r="F24" s="79"/>
    </row>
    <row r="25" spans="1:6" ht="35" customHeight="1" x14ac:dyDescent="0.35">
      <c r="A25" s="117" t="s">
        <v>120</v>
      </c>
      <c r="B25" s="117"/>
      <c r="C25" s="117"/>
      <c r="D25" s="117"/>
      <c r="E25" s="117"/>
      <c r="F25" s="117"/>
    </row>
    <row r="26" spans="1:6" s="87" customFormat="1" ht="30" customHeight="1" x14ac:dyDescent="0.35">
      <c r="A26" s="86" t="s">
        <v>103</v>
      </c>
      <c r="B26" s="127">
        <f>(('Balance Sheet'!C13+'Balance Sheet'!B13)/2)/'Income Statement'!C3*365</f>
        <v>68.626408352575837</v>
      </c>
      <c r="C26" s="127">
        <f>(('Balance Sheet'!D13+'Balance Sheet'!C13)/2)/'Income Statement'!D3*365</f>
        <v>63.001290683240029</v>
      </c>
      <c r="D26" s="127">
        <f>(('Balance Sheet'!E13+'Balance Sheet'!D13)/2)/'Income Statement'!E3*365</f>
        <v>59.838144814570036</v>
      </c>
      <c r="E26" s="127">
        <f>(('Balance Sheet'!F13+'Balance Sheet'!E13)/2)/'Income Statement'!F3*365</f>
        <v>66.051294982755252</v>
      </c>
      <c r="F26" s="127">
        <f>(('Balance Sheet'!G13+'Balance Sheet'!F13)/2)/'Income Statement'!G3*365</f>
        <v>68.694751211730789</v>
      </c>
    </row>
    <row r="27" spans="1:6" s="87" customFormat="1" ht="30" customHeight="1" x14ac:dyDescent="0.35">
      <c r="A27" s="86" t="s">
        <v>104</v>
      </c>
      <c r="B27" s="127">
        <f>ABS((('Balance Sheet'!C35+'Balance Sheet'!B35)/2)/'Income Statement'!C4*365)</f>
        <v>15.33643923990644</v>
      </c>
      <c r="C27" s="127">
        <f>ABS((('Balance Sheet'!D35+'Balance Sheet'!C35)/2)/'Income Statement'!D4*365)</f>
        <v>15.087776531134905</v>
      </c>
      <c r="D27" s="127">
        <f>ABS((('Balance Sheet'!E35+'Balance Sheet'!D35)/2)/'Income Statement'!E4*365)</f>
        <v>14.262576573231854</v>
      </c>
      <c r="E27" s="127">
        <f>ABS((('Balance Sheet'!F35+'Balance Sheet'!E35)/2)/'Income Statement'!F4*365)</f>
        <v>13.288265852364239</v>
      </c>
      <c r="F27" s="127">
        <f>ABS((('Balance Sheet'!G35+'Balance Sheet'!F35)/2)/'Income Statement'!G4*365)</f>
        <v>13.074011663299425</v>
      </c>
    </row>
    <row r="28" spans="1:6" s="87" customFormat="1" ht="30" customHeight="1" x14ac:dyDescent="0.35">
      <c r="A28" s="86" t="s">
        <v>105</v>
      </c>
      <c r="B28" s="128">
        <f>'Income Statement'!C3/(('Balance Sheet'!B18+'Balance Sheet'!C18)/2)</f>
        <v>0.99895602374300285</v>
      </c>
      <c r="C28" s="128">
        <f>'Income Statement'!D3/(('Balance Sheet'!C18+'Balance Sheet'!D18)/2)</f>
        <v>1.0751797623204034</v>
      </c>
      <c r="D28" s="128">
        <f>'Income Statement'!E3/(('Balance Sheet'!D18+'Balance Sheet'!E18)/2)</f>
        <v>1.204484183487142</v>
      </c>
      <c r="E28" s="128">
        <f>'Income Statement'!F3/(('Balance Sheet'!E18+'Balance Sheet'!F18)/2)</f>
        <v>1.1658005538064713</v>
      </c>
      <c r="F28" s="128">
        <f>'Income Statement'!G3/(('Balance Sheet'!F18+'Balance Sheet'!G18)/2)</f>
        <v>1.1369399093880028</v>
      </c>
    </row>
    <row r="29" spans="1:6" s="87" customFormat="1" ht="30" customHeight="1" x14ac:dyDescent="0.35">
      <c r="A29" s="86" t="s">
        <v>106</v>
      </c>
      <c r="B29" s="128">
        <f>'Income Statement'!C3/(('Balance Sheet'!B5+'Balance Sheet'!C5)/2)</f>
        <v>5.607791700387911</v>
      </c>
      <c r="C29" s="128">
        <f>'Income Statement'!D3/(('Balance Sheet'!C5+'Balance Sheet'!D5)/2)</f>
        <v>6.6488658103306912</v>
      </c>
      <c r="D29" s="128">
        <f>'Income Statement'!E3/(('Balance Sheet'!D5+'Balance Sheet'!E5)/2)</f>
        <v>7.5594643317022925</v>
      </c>
      <c r="E29" s="128">
        <f>'Income Statement'!F3/(('Balance Sheet'!E5+'Balance Sheet'!F5)/2)</f>
        <v>7.7355213812891694</v>
      </c>
      <c r="F29" s="128">
        <f>'Income Statement'!G3/(('Balance Sheet'!F5+'Balance Sheet'!G5)/2)</f>
        <v>8.5518652605068475</v>
      </c>
    </row>
    <row r="30" spans="1:6" s="87" customFormat="1" ht="30" customHeight="1" x14ac:dyDescent="0.35">
      <c r="A30" s="86" t="s">
        <v>151</v>
      </c>
      <c r="B30" s="128">
        <f>'Income Statement'!C3/(('Balance Sheet'!B16-'Balance Sheet'!B37)+('Balance Sheet'!C16-'Balance Sheet'!C37)/2)</f>
        <v>1.9264485945469187</v>
      </c>
      <c r="C30" s="128">
        <f>'Income Statement'!D3/(('Balance Sheet'!C16-'Balance Sheet'!C37)+('Balance Sheet'!D16-'Balance Sheet'!D37)/2)</f>
        <v>2.2669263310907768</v>
      </c>
      <c r="D30" s="128">
        <f>'Income Statement'!E3/(('Balance Sheet'!D16-'Balance Sheet'!D37)+('Balance Sheet'!E16-'Balance Sheet'!E37)/2)</f>
        <v>2.9692187863522794</v>
      </c>
      <c r="E30" s="128">
        <f>'Income Statement'!F3/(('Balance Sheet'!E16-'Balance Sheet'!E37)+('Balance Sheet'!F16-'Balance Sheet'!F37)/2)</f>
        <v>2.6953029080576703</v>
      </c>
      <c r="F30" s="128">
        <f>'Income Statement'!G3/(('Balance Sheet'!F16-'Balance Sheet'!F37)+('Balance Sheet'!G16-'Balance Sheet'!G37)/2)</f>
        <v>2.0959974280662275</v>
      </c>
    </row>
    <row r="31" spans="1:6" ht="5" customHeight="1" x14ac:dyDescent="0.35">
      <c r="A31" s="79"/>
      <c r="B31" s="79"/>
      <c r="C31" s="79"/>
      <c r="D31" s="79"/>
      <c r="E31" s="79"/>
      <c r="F31" s="79"/>
    </row>
    <row r="32" spans="1:6" ht="35" customHeight="1" x14ac:dyDescent="0.35">
      <c r="A32" s="118" t="s">
        <v>122</v>
      </c>
      <c r="B32" s="118"/>
      <c r="C32" s="118"/>
      <c r="D32" s="118"/>
      <c r="E32" s="118"/>
      <c r="F32" s="118"/>
    </row>
    <row r="33" spans="1:6" s="87" customFormat="1" ht="30" customHeight="1" x14ac:dyDescent="0.35">
      <c r="A33" s="88" t="s">
        <v>107</v>
      </c>
      <c r="B33" s="129">
        <f>('Balance Sheet'!C39-'Balance Sheet'!C26)/'Balance Sheet'!C26</f>
        <v>0.41160688703081449</v>
      </c>
      <c r="C33" s="129">
        <f>('Balance Sheet'!D39-'Balance Sheet'!D26)/'Balance Sheet'!D26</f>
        <v>0.55652529840498577</v>
      </c>
      <c r="D33" s="129">
        <f>('Balance Sheet'!E39-'Balance Sheet'!E26)/'Balance Sheet'!E26</f>
        <v>0.65995118411504716</v>
      </c>
      <c r="E33" s="129">
        <f>('Balance Sheet'!F39-'Balance Sheet'!F26)/'Balance Sheet'!F26</f>
        <v>0.55790687421575613</v>
      </c>
      <c r="F33" s="129">
        <f>('Balance Sheet'!G39-'Balance Sheet'!G26)/'Balance Sheet'!G26</f>
        <v>0.5477999646580668</v>
      </c>
    </row>
    <row r="34" spans="1:6" s="87" customFormat="1" ht="30" customHeight="1" x14ac:dyDescent="0.35">
      <c r="A34" s="88" t="s">
        <v>108</v>
      </c>
      <c r="B34" s="130">
        <f>('Balance Sheet'!C39-'Balance Sheet'!C26)/'Balance Sheet'!C18</f>
        <v>0.29158747439706234</v>
      </c>
      <c r="C34" s="130">
        <f>('Balance Sheet'!D39-'Balance Sheet'!D26)/'Balance Sheet'!D18</f>
        <v>0.35754336853713364</v>
      </c>
      <c r="D34" s="130">
        <f>('Balance Sheet'!E39-'Balance Sheet'!E26)/'Balance Sheet'!E18</f>
        <v>0.39757264576842372</v>
      </c>
      <c r="E34" s="130">
        <f>('Balance Sheet'!F39-'Balance Sheet'!F26)/'Balance Sheet'!F18</f>
        <v>0.35811310897296356</v>
      </c>
      <c r="F34" s="130">
        <f>('Balance Sheet'!G39-'Balance Sheet'!G26)/'Balance Sheet'!G18</f>
        <v>0.35392168055714124</v>
      </c>
    </row>
    <row r="35" spans="1:6" s="87" customFormat="1" ht="30" customHeight="1" x14ac:dyDescent="0.35">
      <c r="A35" s="88" t="s">
        <v>114</v>
      </c>
      <c r="B35" s="131">
        <f>ABS('Income Statement'!C10/'Income Statement'!C14)</f>
        <v>126.26666666666667</v>
      </c>
      <c r="C35" s="131">
        <f>ABS('Income Statement'!D10/'Income Statement'!D14)</f>
        <v>140.07499999999999</v>
      </c>
      <c r="D35" s="131">
        <f>ABS('Income Statement'!E10/'Income Statement'!E14)</f>
        <v>108.82042253521126</v>
      </c>
      <c r="E35" s="131">
        <f>ABS('Income Statement'!F10/'Income Statement'!F14)</f>
        <v>67.5468085106383</v>
      </c>
      <c r="F35" s="131">
        <f>ABS('Income Statement'!G10/'Income Statement'!G14)</f>
        <v>82.75</v>
      </c>
    </row>
    <row r="36" spans="1:6" s="87" customFormat="1" ht="30" customHeight="1" x14ac:dyDescent="0.35">
      <c r="A36" s="88" t="s">
        <v>109</v>
      </c>
      <c r="B36" s="132">
        <f>'Balance Sheet'!C18/'Balance Sheet'!C26</f>
        <v>1.4116068870308145</v>
      </c>
      <c r="C36" s="132">
        <f>'Balance Sheet'!D18/'Balance Sheet'!D26</f>
        <v>1.5565252984049858</v>
      </c>
      <c r="D36" s="132">
        <f>'Balance Sheet'!E18/'Balance Sheet'!E26</f>
        <v>1.6599511841150472</v>
      </c>
      <c r="E36" s="132">
        <f>'Balance Sheet'!F18/'Balance Sheet'!F26</f>
        <v>1.557906874215756</v>
      </c>
      <c r="F36" s="132">
        <f>'Balance Sheet'!G18/'Balance Sheet'!G26</f>
        <v>1.5477999646580669</v>
      </c>
    </row>
    <row r="37" spans="1:6" ht="5" customHeight="1" x14ac:dyDescent="0.35">
      <c r="A37" s="79"/>
      <c r="B37" s="79"/>
      <c r="C37" s="79"/>
      <c r="D37" s="79"/>
      <c r="E37" s="79"/>
      <c r="F37" s="79"/>
    </row>
    <row r="38" spans="1:6" ht="35" customHeight="1" x14ac:dyDescent="0.35">
      <c r="A38" s="119" t="s">
        <v>123</v>
      </c>
      <c r="B38" s="119"/>
      <c r="C38" s="119"/>
      <c r="D38" s="119"/>
      <c r="E38" s="119"/>
      <c r="F38" s="119"/>
    </row>
    <row r="39" spans="1:6" s="87" customFormat="1" ht="30" customHeight="1" x14ac:dyDescent="0.35">
      <c r="A39" s="89" t="s">
        <v>110</v>
      </c>
      <c r="B39" s="133">
        <f>'Cash Flow'!C23/'Cash Flow'!C4</f>
        <v>1.195695824537919</v>
      </c>
      <c r="C39" s="133">
        <f>'Cash Flow'!D23/'Cash Flow'!D4</f>
        <v>1.0785243384809897</v>
      </c>
      <c r="D39" s="133">
        <f>'Cash Flow'!E23/'Cash Flow'!E4</f>
        <v>0.93193130910900945</v>
      </c>
      <c r="E39" s="133">
        <f>'Cash Flow'!F23/'Cash Flow'!F4</f>
        <v>0.9604541298384639</v>
      </c>
      <c r="F39" s="133">
        <f>'Cash Flow'!G23/'Cash Flow'!G4</f>
        <v>1.3343551401869158</v>
      </c>
    </row>
    <row r="40" spans="1:6" s="87" customFormat="1" ht="30" customHeight="1" x14ac:dyDescent="0.35">
      <c r="A40" s="89" t="s">
        <v>111</v>
      </c>
      <c r="B40" s="134">
        <f>'Cash Flow'!C23-ABS('Cash Flow'!C26)</f>
        <v>21117</v>
      </c>
      <c r="C40" s="134">
        <f>'Cash Flow'!D23-ABS('Cash Flow'!D26)</f>
        <v>21724</v>
      </c>
      <c r="D40" s="134">
        <f>'Cash Flow'!E23-ABS('Cash Flow'!E26)</f>
        <v>19888</v>
      </c>
      <c r="E40" s="134">
        <f>'Cash Flow'!F23-ABS('Cash Flow'!F26)</f>
        <v>23009</v>
      </c>
      <c r="F40" s="134">
        <f>'Cash Flow'!G23-ABS('Cash Flow'!G26)</f>
        <v>33457</v>
      </c>
    </row>
    <row r="41" spans="1:6" s="87" customFormat="1" ht="30" customHeight="1" x14ac:dyDescent="0.35">
      <c r="A41" s="89" t="s">
        <v>112</v>
      </c>
      <c r="B41" s="135">
        <f>B40/'Income Statement'!C3</f>
        <v>0.21017796002866471</v>
      </c>
      <c r="C41" s="135">
        <f>C40/'Income Statement'!D3</f>
        <v>0.17859110004028247</v>
      </c>
      <c r="D41" s="135">
        <f>D40/'Income Statement'!E3</f>
        <v>0.13550730068748423</v>
      </c>
      <c r="E41" s="135">
        <f>E40/'Income Statement'!F3</f>
        <v>0.14972994078219562</v>
      </c>
      <c r="F41" s="135">
        <f>F40/'Income Statement'!G3</f>
        <v>0.20527026197926254</v>
      </c>
    </row>
    <row r="42" spans="1:6" s="87" customFormat="1" ht="30" customHeight="1" x14ac:dyDescent="0.35">
      <c r="A42" s="89" t="s">
        <v>113</v>
      </c>
      <c r="B42" s="135">
        <f>ABS('Cash Flow'!C26)/'Cash Flow'!C23</f>
        <v>9.0725111953151916E-2</v>
      </c>
      <c r="C42" s="135">
        <f>ABS('Cash Flow'!D26)/'Cash Flow'!D23</f>
        <v>9.0475193636173332E-2</v>
      </c>
      <c r="D42" s="135">
        <f>ABS('Cash Flow'!E26)/'Cash Flow'!E23</f>
        <v>0.11479058174211065</v>
      </c>
      <c r="E42" s="135">
        <f>ABS('Cash Flow'!F26)/'Cash Flow'!F23</f>
        <v>8.7306624355414517E-2</v>
      </c>
      <c r="F42" s="135">
        <f>ABS('Cash Flow'!G26)/'Cash Flow'!G23</f>
        <v>6.2671597467361465E-2</v>
      </c>
    </row>
    <row r="43" spans="1:6" s="87" customFormat="1" ht="30" customHeight="1" x14ac:dyDescent="0.35">
      <c r="A43" s="89" t="s">
        <v>115</v>
      </c>
      <c r="B43" s="135">
        <f>ABS('Cash Flow'!C34)/'Cash Flow'!C23</f>
        <v>0.39256803306923871</v>
      </c>
      <c r="C43" s="135">
        <f>ABS('Cash Flow'!D34)/'Cash Flow'!D23</f>
        <v>0.52970483567092319</v>
      </c>
      <c r="D43" s="135">
        <f>ABS('Cash Flow'!E34)/'Cash Flow'!E23</f>
        <v>0.60671206658654919</v>
      </c>
      <c r="E43" s="135">
        <f>ABS('Cash Flow'!F34)/'Cash Flow'!F23</f>
        <v>0.58278460928203091</v>
      </c>
      <c r="F43" s="135">
        <f>ABS('Cash Flow'!G34)/'Cash Flow'!G23</f>
        <v>0.56835882781419844</v>
      </c>
    </row>
    <row r="44" spans="1:6" ht="5" customHeight="1" x14ac:dyDescent="0.35">
      <c r="A44" s="79"/>
      <c r="B44" s="79"/>
      <c r="C44" s="79"/>
      <c r="D44" s="79"/>
      <c r="E44" s="79"/>
      <c r="F44" s="79"/>
    </row>
    <row r="45" spans="1:6" ht="35" customHeight="1" x14ac:dyDescent="0.35">
      <c r="A45" s="120" t="s">
        <v>124</v>
      </c>
      <c r="B45" s="120"/>
      <c r="C45" s="120"/>
      <c r="D45" s="120"/>
      <c r="E45" s="120"/>
      <c r="F45" s="120"/>
    </row>
    <row r="46" spans="1:6" s="87" customFormat="1" ht="35" customHeight="1" x14ac:dyDescent="0.35">
      <c r="A46" s="90" t="s">
        <v>116</v>
      </c>
      <c r="B46" s="136">
        <f>'Income Statement'!C17/'Income Statement'!C3</f>
        <v>0.19331754120550998</v>
      </c>
      <c r="C46" s="136">
        <f>'Income Statement'!D17/'Income Statement'!D3</f>
        <v>0.1820603250548746</v>
      </c>
      <c r="D46" s="136">
        <f>'Income Statement'!E17/'Income Statement'!E3</f>
        <v>0.16426035825492105</v>
      </c>
      <c r="E46" s="136">
        <f>'Income Statement'!F17/'Income Statement'!F3</f>
        <v>0.17080757467300059</v>
      </c>
      <c r="F46" s="136">
        <f>'Income Statement'!G17/'Income Statement'!G3</f>
        <v>0.16412049819007302</v>
      </c>
    </row>
    <row r="47" spans="1:6" s="87" customFormat="1" ht="35" customHeight="1" x14ac:dyDescent="0.35">
      <c r="A47" s="90" t="s">
        <v>117</v>
      </c>
      <c r="B47" s="137">
        <f>'Income Statement'!C3/(('Balance Sheet'!B18+'Balance Sheet'!C18)/2)</f>
        <v>0.99895602374300285</v>
      </c>
      <c r="C47" s="137">
        <f>'Income Statement'!D3/(('Balance Sheet'!C18+'Balance Sheet'!D18)/2)</f>
        <v>1.0751797623204034</v>
      </c>
      <c r="D47" s="137">
        <f>'Income Statement'!E3/(('Balance Sheet'!D18+'Balance Sheet'!E18)/2)</f>
        <v>1.204484183487142</v>
      </c>
      <c r="E47" s="137">
        <f>'Income Statement'!F3/(('Balance Sheet'!E18+'Balance Sheet'!F18)/2)</f>
        <v>1.1658005538064713</v>
      </c>
      <c r="F47" s="137">
        <f>'Income Statement'!G3/(('Balance Sheet'!F18+'Balance Sheet'!G18)/2)</f>
        <v>1.1369399093880028</v>
      </c>
    </row>
    <row r="48" spans="1:6" s="87" customFormat="1" ht="35" customHeight="1" x14ac:dyDescent="0.35">
      <c r="A48" s="90" t="s">
        <v>118</v>
      </c>
      <c r="B48" s="138">
        <f>'Balance Sheet'!C18/'Balance Sheet'!C26</f>
        <v>1.4116068870308145</v>
      </c>
      <c r="C48" s="138">
        <f>'Balance Sheet'!D18/'Balance Sheet'!D26</f>
        <v>1.5565252984049858</v>
      </c>
      <c r="D48" s="138">
        <f>'Balance Sheet'!E18/'Balance Sheet'!E26</f>
        <v>1.6599511841150472</v>
      </c>
      <c r="E48" s="138">
        <f>'Balance Sheet'!F18/'Balance Sheet'!F26</f>
        <v>1.557906874215756</v>
      </c>
      <c r="F48" s="138">
        <f>'Balance Sheet'!G18/'Balance Sheet'!G26</f>
        <v>1.5477999646580669</v>
      </c>
    </row>
    <row r="49" spans="1:6" s="87" customFormat="1" ht="35" customHeight="1" x14ac:dyDescent="0.35">
      <c r="A49" s="91" t="s">
        <v>130</v>
      </c>
      <c r="B49" s="139">
        <f>(('Income Statement'!C17/'Income Statement'!C3))*(('Income Statement'!C3)/(('Balance Sheet'!B18+'Balance Sheet'!C18)/2))*(('Balance Sheet'!C18)/('Balance Sheet'!C26))</f>
        <v>0.27260348356780878</v>
      </c>
      <c r="C49" s="139">
        <f>(('Income Statement'!D17/'Income Statement'!D3))*(('Income Statement'!D3)/(('Balance Sheet'!C18+'Balance Sheet'!D18)/2))*(('Balance Sheet'!D18)/('Balance Sheet'!D26))</f>
        <v>0.30468605573384849</v>
      </c>
      <c r="D49" s="139">
        <f>(('Income Statement'!E17/'Income Statement'!E3))*(('Income Statement'!E3)/(('Balance Sheet'!D18+'Balance Sheet'!E18)/2))*(('Balance Sheet'!E18)/('Balance Sheet'!E26))</f>
        <v>0.32841968762250096</v>
      </c>
      <c r="E49" s="139">
        <f>(('Income Statement'!F17/'Income Statement'!F3))*(('Income Statement'!F3)/(('Balance Sheet'!E18+'Balance Sheet'!F18)/2))*(('Balance Sheet'!F18)/('Balance Sheet'!F26))</f>
        <v>0.31022220259010863</v>
      </c>
      <c r="F49" s="139">
        <f>(('Income Statement'!G17/'Income Statement'!G3))*(('Income Statement'!G3)/(('Balance Sheet'!F18+'Balance Sheet'!G18)/2))*(('Balance Sheet'!G18)/('Balance Sheet'!G26))</f>
        <v>0.28881195781626684</v>
      </c>
    </row>
    <row r="50" spans="1:6" ht="5" customHeight="1" x14ac:dyDescent="0.35"/>
  </sheetData>
  <mergeCells count="8">
    <mergeCell ref="A32:F32"/>
    <mergeCell ref="A38:F38"/>
    <mergeCell ref="A45:F45"/>
    <mergeCell ref="A1:F1"/>
    <mergeCell ref="A3:F3"/>
    <mergeCell ref="A11:F11"/>
    <mergeCell ref="A20:F20"/>
    <mergeCell ref="A25:F2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Income Statement</vt:lpstr>
      <vt:lpstr>Balance Sheet</vt:lpstr>
      <vt:lpstr>Cash Flow</vt:lpstr>
      <vt:lpstr>Ratio Analysis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Windows 10 Pro</cp:lastModifiedBy>
  <cp:revision>0</cp:revision>
  <cp:lastPrinted>2026-04-22T18:11:43Z</cp:lastPrinted>
  <dcterms:created xsi:type="dcterms:W3CDTF">2026-04-19T10:58:52Z</dcterms:created>
  <dcterms:modified xsi:type="dcterms:W3CDTF">2026-06-13T11:36:28Z</dcterms:modified>
  <dc:language>en-US</dc:language>
</cp:coreProperties>
</file>